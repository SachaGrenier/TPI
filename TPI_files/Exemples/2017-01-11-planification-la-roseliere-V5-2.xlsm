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Mes Documents\Documents\Etml\2015-2016\graap\05-Modele-Planification\Yverdon-LaRoseliere\"/>
    </mc:Choice>
  </mc:AlternateContent>
  <bookViews>
    <workbookView xWindow="14388" yWindow="-12" windowWidth="14436" windowHeight="11700" tabRatio="695"/>
  </bookViews>
  <sheets>
    <sheet name="planning_general" sheetId="21" r:id="rId1"/>
    <sheet name="planning beneficiaires" sheetId="19" r:id="rId2"/>
    <sheet name="places disponibles" sheetId="22" r:id="rId3"/>
    <sheet name="beneficiaires" sheetId="13" r:id="rId4"/>
    <sheet name="Cstes" sheetId="20" state="hidden" r:id="rId5"/>
  </sheets>
  <definedNames>
    <definedName name="ateliers1">Cstes!$A$10:$A$39</definedName>
    <definedName name="ateliers2">Cstes!$A$42:$A$82</definedName>
    <definedName name="ateliers3">Cstes!$A$85:$A$114</definedName>
    <definedName name="couleur1">Cstes!$B$3</definedName>
    <definedName name="couleur2">Cstes!$B$4</definedName>
    <definedName name="couleur3">Cstes!$B$5</definedName>
    <definedName name="horaire1">Cstes!$E$2</definedName>
    <definedName name="horaire2">Cstes!$E$3</definedName>
    <definedName name="horaire3">Cstes!$E$4</definedName>
    <definedName name="horaire4">Cstes!$E$5</definedName>
    <definedName name="lst_beneficiaires">beneficiaires!$D$2:$D$46</definedName>
    <definedName name="planning_general">planning_general!$D$4:$AE$104</definedName>
    <definedName name="qui_fait_quoi">planning_general!$D$4:$D$104,planning_general!$F$4:$F$104,planning_general!#REF!,planning_general!$H$4:$H$104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,planning_general!#REF!</definedName>
    <definedName name="references">beneficiaires!$E$2:$H$46</definedName>
    <definedName name="referents">beneficiaires!$K$2:$K$7</definedName>
    <definedName name="total_jour">planning_general!$D$105,planning_general!$F$105,planning_general!$H$105,planning_general!#REF!,planning_general!#REF!,planning_general!#REF!,planning_general!#REF!,planning_general!#REF!,planning_general!#REF!,planning_general!#REF!</definedName>
    <definedName name="_xlnm.Print_Area" localSheetId="3">beneficiaires!$A$1:$O$39</definedName>
    <definedName name="_xlnm.Print_Area" localSheetId="1">'planning beneficiaires'!$A$1:$AN$38</definedName>
    <definedName name="_xlnm.Print_Area" localSheetId="0">planning_general!$A$1:$AE$106</definedName>
    <definedName name="zone1">planning_general!$A$4:$AE$33</definedName>
    <definedName name="zone2">planning_general!$A$34:$AE$74</definedName>
    <definedName name="zone3">planning_general!$A$75:$AE$104</definedName>
    <definedName name="zonejours">'planning beneficiaires'!$M$3:$AN$46</definedName>
  </definedNames>
  <calcPr calcId="162913"/>
</workbook>
</file>

<file path=xl/calcChain.xml><?xml version="1.0" encoding="utf-8"?>
<calcChain xmlns="http://schemas.openxmlformats.org/spreadsheetml/2006/main">
  <c r="A86" i="20" l="1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C103" i="20"/>
  <c r="B103" i="20"/>
  <c r="C102" i="20"/>
  <c r="B102" i="20"/>
  <c r="C101" i="20"/>
  <c r="B101" i="20"/>
  <c r="C100" i="20"/>
  <c r="B100" i="20"/>
  <c r="C99" i="20"/>
  <c r="B99" i="20"/>
  <c r="BI90" i="21"/>
  <c r="BH90" i="21"/>
  <c r="BG90" i="21"/>
  <c r="BF90" i="21"/>
  <c r="BE90" i="21"/>
  <c r="BD90" i="21"/>
  <c r="BC90" i="21"/>
  <c r="BB90" i="21"/>
  <c r="BA90" i="21"/>
  <c r="AZ90" i="21"/>
  <c r="AY90" i="21"/>
  <c r="AX90" i="21"/>
  <c r="AW90" i="21"/>
  <c r="AV90" i="21"/>
  <c r="AU90" i="21"/>
  <c r="AT90" i="21"/>
  <c r="AS90" i="21"/>
  <c r="AR90" i="21"/>
  <c r="AQ90" i="21"/>
  <c r="AP90" i="21"/>
  <c r="AO90" i="21"/>
  <c r="AN90" i="21"/>
  <c r="AM90" i="21"/>
  <c r="AL90" i="21"/>
  <c r="AK90" i="21"/>
  <c r="AJ90" i="21"/>
  <c r="AI90" i="21"/>
  <c r="AH90" i="21"/>
  <c r="BI89" i="21"/>
  <c r="BH89" i="21"/>
  <c r="BG89" i="21"/>
  <c r="BF89" i="21"/>
  <c r="BE89" i="21"/>
  <c r="BD89" i="21"/>
  <c r="BC89" i="21"/>
  <c r="BB89" i="21"/>
  <c r="BA89" i="21"/>
  <c r="AZ89" i="21"/>
  <c r="AY89" i="21"/>
  <c r="AX89" i="21"/>
  <c r="AW89" i="21"/>
  <c r="AV89" i="21"/>
  <c r="AU89" i="21"/>
  <c r="AT89" i="21"/>
  <c r="AS89" i="21"/>
  <c r="AR89" i="21"/>
  <c r="AQ89" i="21"/>
  <c r="AP89" i="21"/>
  <c r="AO89" i="21"/>
  <c r="AN89" i="21"/>
  <c r="AM89" i="21"/>
  <c r="AL89" i="21"/>
  <c r="AK89" i="21"/>
  <c r="AJ89" i="21"/>
  <c r="AI89" i="21"/>
  <c r="AH89" i="21"/>
  <c r="BI88" i="21"/>
  <c r="BH88" i="21"/>
  <c r="BG88" i="21"/>
  <c r="BF88" i="21"/>
  <c r="BE88" i="21"/>
  <c r="BD88" i="21"/>
  <c r="BC88" i="21"/>
  <c r="BB88" i="21"/>
  <c r="BA88" i="21"/>
  <c r="AZ88" i="21"/>
  <c r="AY88" i="21"/>
  <c r="AX88" i="21"/>
  <c r="AW88" i="21"/>
  <c r="AV88" i="21"/>
  <c r="AU88" i="21"/>
  <c r="AT88" i="21"/>
  <c r="AS88" i="21"/>
  <c r="AR88" i="21"/>
  <c r="AQ88" i="21"/>
  <c r="AP88" i="21"/>
  <c r="AO88" i="21"/>
  <c r="AN88" i="21"/>
  <c r="AM88" i="21"/>
  <c r="AL88" i="21"/>
  <c r="AK88" i="21"/>
  <c r="AJ88" i="21"/>
  <c r="AI88" i="21"/>
  <c r="AH88" i="21"/>
  <c r="BI87" i="21"/>
  <c r="BH87" i="21"/>
  <c r="BG87" i="21"/>
  <c r="BF87" i="21"/>
  <c r="BE87" i="21"/>
  <c r="BD87" i="21"/>
  <c r="BC87" i="21"/>
  <c r="BB87" i="21"/>
  <c r="BA87" i="21"/>
  <c r="AZ87" i="21"/>
  <c r="AY87" i="21"/>
  <c r="AX87" i="21"/>
  <c r="AW87" i="21"/>
  <c r="AV87" i="21"/>
  <c r="AU87" i="21"/>
  <c r="AT87" i="21"/>
  <c r="AS87" i="21"/>
  <c r="AR87" i="21"/>
  <c r="AQ87" i="21"/>
  <c r="AP87" i="21"/>
  <c r="AO87" i="21"/>
  <c r="AN87" i="21"/>
  <c r="AM87" i="21"/>
  <c r="AL87" i="21"/>
  <c r="AK87" i="21"/>
  <c r="AJ87" i="21"/>
  <c r="AI87" i="21"/>
  <c r="AH87" i="21"/>
  <c r="BI86" i="21"/>
  <c r="BH86" i="21"/>
  <c r="BG86" i="21"/>
  <c r="BF86" i="21"/>
  <c r="BE86" i="21"/>
  <c r="BD86" i="21"/>
  <c r="BC86" i="21"/>
  <c r="BB86" i="21"/>
  <c r="BA86" i="21"/>
  <c r="AZ86" i="21"/>
  <c r="AY86" i="21"/>
  <c r="AX86" i="21"/>
  <c r="AW86" i="21"/>
  <c r="AV86" i="21"/>
  <c r="AU86" i="21"/>
  <c r="AT86" i="21"/>
  <c r="AS86" i="21"/>
  <c r="AR86" i="21"/>
  <c r="AQ86" i="21"/>
  <c r="AP86" i="21"/>
  <c r="AO86" i="21"/>
  <c r="AN86" i="21"/>
  <c r="AM86" i="21"/>
  <c r="AL86" i="21"/>
  <c r="AK86" i="21"/>
  <c r="AJ86" i="21"/>
  <c r="AI86" i="21"/>
  <c r="AH86" i="21"/>
  <c r="D5" i="22" l="1"/>
  <c r="D4" i="22"/>
  <c r="D8" i="22"/>
  <c r="D7" i="22"/>
  <c r="D6" i="22"/>
  <c r="D3" i="22"/>
  <c r="D2" i="22"/>
  <c r="BI104" i="21"/>
  <c r="BH104" i="21"/>
  <c r="BG104" i="21"/>
  <c r="BF104" i="21"/>
  <c r="BI103" i="21"/>
  <c r="BH103" i="21"/>
  <c r="BG103" i="21"/>
  <c r="BF103" i="21"/>
  <c r="BI102" i="21"/>
  <c r="BH102" i="21"/>
  <c r="BG102" i="21"/>
  <c r="BF102" i="21"/>
  <c r="BI101" i="21"/>
  <c r="BH101" i="21"/>
  <c r="BG101" i="21"/>
  <c r="BF101" i="21"/>
  <c r="BI100" i="21"/>
  <c r="BH100" i="21"/>
  <c r="BG100" i="21"/>
  <c r="BF100" i="21"/>
  <c r="BI99" i="21"/>
  <c r="BH99" i="21"/>
  <c r="BG99" i="21"/>
  <c r="BF99" i="21"/>
  <c r="BI98" i="21"/>
  <c r="BH98" i="21"/>
  <c r="BG98" i="21"/>
  <c r="BF98" i="21"/>
  <c r="BI97" i="21"/>
  <c r="BH97" i="21"/>
  <c r="BG97" i="21"/>
  <c r="BF97" i="21"/>
  <c r="BI96" i="21"/>
  <c r="BH96" i="21"/>
  <c r="BG96" i="21"/>
  <c r="BF96" i="21"/>
  <c r="BI95" i="21"/>
  <c r="BH95" i="21"/>
  <c r="BG95" i="21"/>
  <c r="BF95" i="21"/>
  <c r="BI94" i="21"/>
  <c r="BH94" i="21"/>
  <c r="BG94" i="21"/>
  <c r="BF94" i="21"/>
  <c r="BI93" i="21"/>
  <c r="BH93" i="21"/>
  <c r="BG93" i="21"/>
  <c r="BF93" i="21"/>
  <c r="BI92" i="21"/>
  <c r="BH92" i="21"/>
  <c r="BG92" i="21"/>
  <c r="BF92" i="21"/>
  <c r="BI91" i="21"/>
  <c r="BH91" i="21"/>
  <c r="BG91" i="21"/>
  <c r="BF91" i="21"/>
  <c r="BI85" i="21"/>
  <c r="BH85" i="21"/>
  <c r="BG85" i="21"/>
  <c r="BF85" i="21"/>
  <c r="BI84" i="21"/>
  <c r="BH84" i="21"/>
  <c r="BG84" i="21"/>
  <c r="BF84" i="21"/>
  <c r="BI83" i="21"/>
  <c r="BH83" i="21"/>
  <c r="BG83" i="21"/>
  <c r="BF83" i="21"/>
  <c r="BI82" i="21"/>
  <c r="BH82" i="21"/>
  <c r="BG82" i="21"/>
  <c r="BF82" i="21"/>
  <c r="BI81" i="21"/>
  <c r="BH81" i="21"/>
  <c r="BG81" i="21"/>
  <c r="BF81" i="21"/>
  <c r="BI80" i="21"/>
  <c r="BH80" i="21"/>
  <c r="BG80" i="21"/>
  <c r="BF80" i="21"/>
  <c r="BI79" i="21"/>
  <c r="BH79" i="21"/>
  <c r="BG79" i="21"/>
  <c r="BF79" i="21"/>
  <c r="BI78" i="21"/>
  <c r="BH78" i="21"/>
  <c r="BG78" i="21"/>
  <c r="BF78" i="21"/>
  <c r="BI77" i="21"/>
  <c r="BH77" i="21"/>
  <c r="BG77" i="21"/>
  <c r="BF77" i="21"/>
  <c r="BI76" i="21"/>
  <c r="BH76" i="21"/>
  <c r="BG76" i="21"/>
  <c r="BF76" i="21"/>
  <c r="BI75" i="21"/>
  <c r="BH75" i="21"/>
  <c r="BG75" i="21"/>
  <c r="BF75" i="21"/>
  <c r="BI74" i="21"/>
  <c r="BH74" i="21"/>
  <c r="BG74" i="21"/>
  <c r="BF74" i="21"/>
  <c r="BI73" i="21"/>
  <c r="BH73" i="21"/>
  <c r="BG73" i="21"/>
  <c r="BF73" i="21"/>
  <c r="BI72" i="21"/>
  <c r="BH72" i="21"/>
  <c r="BG72" i="21"/>
  <c r="BF72" i="21"/>
  <c r="BI71" i="21"/>
  <c r="BH71" i="21"/>
  <c r="BG71" i="21"/>
  <c r="BF71" i="21"/>
  <c r="BI70" i="21"/>
  <c r="BH70" i="21"/>
  <c r="BG70" i="21"/>
  <c r="BF70" i="21"/>
  <c r="BI69" i="21"/>
  <c r="BH69" i="21"/>
  <c r="BG69" i="21"/>
  <c r="BF69" i="21"/>
  <c r="BI68" i="21"/>
  <c r="BH68" i="21"/>
  <c r="BG68" i="21"/>
  <c r="BF68" i="21"/>
  <c r="BI67" i="21"/>
  <c r="BH67" i="21"/>
  <c r="BG67" i="21"/>
  <c r="BF67" i="21"/>
  <c r="BI66" i="21"/>
  <c r="BH66" i="21"/>
  <c r="BG66" i="21"/>
  <c r="BF66" i="21"/>
  <c r="BI65" i="21"/>
  <c r="BH65" i="21"/>
  <c r="BG65" i="21"/>
  <c r="BF65" i="21"/>
  <c r="BI64" i="21"/>
  <c r="BH64" i="21"/>
  <c r="BG64" i="21"/>
  <c r="BF64" i="21"/>
  <c r="BI63" i="21"/>
  <c r="BH63" i="21"/>
  <c r="BG63" i="21"/>
  <c r="BF63" i="21"/>
  <c r="BI62" i="21"/>
  <c r="BH62" i="21"/>
  <c r="BG62" i="21"/>
  <c r="BF62" i="21"/>
  <c r="BI61" i="21"/>
  <c r="BH61" i="21"/>
  <c r="BG61" i="21"/>
  <c r="BF61" i="21"/>
  <c r="BI60" i="21"/>
  <c r="BH60" i="21"/>
  <c r="BG60" i="21"/>
  <c r="BF60" i="21"/>
  <c r="BI59" i="21"/>
  <c r="BH59" i="21"/>
  <c r="BG59" i="21"/>
  <c r="BF59" i="21"/>
  <c r="BI58" i="21"/>
  <c r="BH58" i="21"/>
  <c r="BG58" i="21"/>
  <c r="BF58" i="21"/>
  <c r="BI57" i="21"/>
  <c r="BH57" i="21"/>
  <c r="BG57" i="21"/>
  <c r="BF57" i="21"/>
  <c r="BI56" i="21"/>
  <c r="BH56" i="21"/>
  <c r="BG56" i="21"/>
  <c r="BF56" i="21"/>
  <c r="BI55" i="21"/>
  <c r="BH55" i="21"/>
  <c r="BG55" i="21"/>
  <c r="BF55" i="21"/>
  <c r="BI54" i="21"/>
  <c r="BH54" i="21"/>
  <c r="BG54" i="21"/>
  <c r="BF54" i="21"/>
  <c r="BI53" i="21"/>
  <c r="BH53" i="21"/>
  <c r="BG53" i="21"/>
  <c r="BF53" i="21"/>
  <c r="BI52" i="21"/>
  <c r="BH52" i="21"/>
  <c r="BG52" i="21"/>
  <c r="BF52" i="21"/>
  <c r="BI51" i="21"/>
  <c r="BH51" i="21"/>
  <c r="BG51" i="21"/>
  <c r="BF51" i="21"/>
  <c r="BI50" i="21"/>
  <c r="BH50" i="21"/>
  <c r="BG50" i="21"/>
  <c r="BF50" i="21"/>
  <c r="BI49" i="21"/>
  <c r="BH49" i="21"/>
  <c r="BG49" i="21"/>
  <c r="BF49" i="21"/>
  <c r="BI48" i="21"/>
  <c r="BH48" i="21"/>
  <c r="BG48" i="21"/>
  <c r="BF48" i="21"/>
  <c r="BI47" i="21"/>
  <c r="BH47" i="21"/>
  <c r="BG47" i="21"/>
  <c r="BF47" i="21"/>
  <c r="BI46" i="21"/>
  <c r="BH46" i="21"/>
  <c r="BG46" i="21"/>
  <c r="BF46" i="21"/>
  <c r="BI45" i="21"/>
  <c r="BH45" i="21"/>
  <c r="BG45" i="21"/>
  <c r="BF45" i="21"/>
  <c r="BI44" i="21"/>
  <c r="BH44" i="21"/>
  <c r="BG44" i="21"/>
  <c r="BF44" i="21"/>
  <c r="BI43" i="21"/>
  <c r="BH43" i="21"/>
  <c r="BG43" i="21"/>
  <c r="BF43" i="21"/>
  <c r="BI42" i="21"/>
  <c r="BH42" i="21"/>
  <c r="BG42" i="21"/>
  <c r="BF42" i="21"/>
  <c r="BI41" i="21"/>
  <c r="BH41" i="21"/>
  <c r="BG41" i="21"/>
  <c r="BF41" i="21"/>
  <c r="BI40" i="21"/>
  <c r="BH40" i="21"/>
  <c r="BG40" i="21"/>
  <c r="BF40" i="21"/>
  <c r="BI39" i="21"/>
  <c r="BH39" i="21"/>
  <c r="BG39" i="21"/>
  <c r="BF39" i="21"/>
  <c r="BI38" i="21"/>
  <c r="BH38" i="21"/>
  <c r="BG38" i="21"/>
  <c r="BF38" i="21"/>
  <c r="BI37" i="21"/>
  <c r="BH37" i="21"/>
  <c r="BG37" i="21"/>
  <c r="BF37" i="21"/>
  <c r="BI36" i="21"/>
  <c r="BH36" i="21"/>
  <c r="BG36" i="21"/>
  <c r="BF36" i="21"/>
  <c r="BI35" i="21"/>
  <c r="BH35" i="21"/>
  <c r="BG35" i="21"/>
  <c r="BF35" i="21"/>
  <c r="BI34" i="21"/>
  <c r="BH34" i="21"/>
  <c r="BG34" i="21"/>
  <c r="BF34" i="21"/>
  <c r="BI33" i="21"/>
  <c r="BH33" i="21"/>
  <c r="BG33" i="21"/>
  <c r="BF33" i="21"/>
  <c r="BI32" i="21"/>
  <c r="BH32" i="21"/>
  <c r="BG32" i="21"/>
  <c r="BF32" i="21"/>
  <c r="BI31" i="21"/>
  <c r="BH31" i="21"/>
  <c r="BG31" i="21"/>
  <c r="BF31" i="21"/>
  <c r="BI30" i="21"/>
  <c r="BH30" i="21"/>
  <c r="BG30" i="21"/>
  <c r="BF30" i="21"/>
  <c r="BI29" i="21"/>
  <c r="BH29" i="21"/>
  <c r="BG29" i="21"/>
  <c r="BF29" i="21"/>
  <c r="BI28" i="21"/>
  <c r="BH28" i="21"/>
  <c r="BG28" i="21"/>
  <c r="BF28" i="21"/>
  <c r="BI27" i="21"/>
  <c r="BH27" i="21"/>
  <c r="BG27" i="21"/>
  <c r="BF27" i="21"/>
  <c r="BI26" i="21"/>
  <c r="BH26" i="21"/>
  <c r="BG26" i="21"/>
  <c r="BF26" i="21"/>
  <c r="BI25" i="21"/>
  <c r="BH25" i="21"/>
  <c r="BG25" i="21"/>
  <c r="BF25" i="21"/>
  <c r="BI24" i="21"/>
  <c r="BH24" i="21"/>
  <c r="BG24" i="21"/>
  <c r="BF24" i="21"/>
  <c r="BI23" i="21"/>
  <c r="BH23" i="21"/>
  <c r="BG23" i="21"/>
  <c r="BF23" i="21"/>
  <c r="BI22" i="21"/>
  <c r="BH22" i="21"/>
  <c r="BG22" i="21"/>
  <c r="BF22" i="21"/>
  <c r="BI21" i="21"/>
  <c r="BH21" i="21"/>
  <c r="BG21" i="21"/>
  <c r="BF21" i="21"/>
  <c r="BI20" i="21"/>
  <c r="BH20" i="21"/>
  <c r="BG20" i="21"/>
  <c r="BF20" i="21"/>
  <c r="BI19" i="21"/>
  <c r="BH19" i="21"/>
  <c r="BG19" i="21"/>
  <c r="BF19" i="21"/>
  <c r="BI18" i="21"/>
  <c r="BH18" i="21"/>
  <c r="BG18" i="21"/>
  <c r="BF18" i="21"/>
  <c r="BI17" i="21"/>
  <c r="BH17" i="21"/>
  <c r="BG17" i="21"/>
  <c r="BF17" i="21"/>
  <c r="BI16" i="21"/>
  <c r="BH16" i="21"/>
  <c r="BG16" i="21"/>
  <c r="BF16" i="21"/>
  <c r="BI15" i="21"/>
  <c r="BH15" i="21"/>
  <c r="BG15" i="21"/>
  <c r="BF15" i="21"/>
  <c r="BI14" i="21"/>
  <c r="BH14" i="21"/>
  <c r="BG14" i="21"/>
  <c r="BF14" i="21"/>
  <c r="BI13" i="21"/>
  <c r="BH13" i="21"/>
  <c r="BG13" i="21"/>
  <c r="BF13" i="21"/>
  <c r="BI12" i="21"/>
  <c r="BH12" i="21"/>
  <c r="BG12" i="21"/>
  <c r="BF12" i="21"/>
  <c r="BI11" i="21"/>
  <c r="BH11" i="21"/>
  <c r="BG11" i="21"/>
  <c r="BF11" i="21"/>
  <c r="BI10" i="21"/>
  <c r="BH10" i="21"/>
  <c r="BG10" i="21"/>
  <c r="BF10" i="21"/>
  <c r="BI9" i="21"/>
  <c r="BH9" i="21"/>
  <c r="BG9" i="21"/>
  <c r="BF9" i="21"/>
  <c r="BI8" i="21"/>
  <c r="BH8" i="21"/>
  <c r="BG8" i="21"/>
  <c r="BF8" i="21"/>
  <c r="BI7" i="21"/>
  <c r="BH7" i="21"/>
  <c r="BG7" i="21"/>
  <c r="BF7" i="21"/>
  <c r="BI6" i="21"/>
  <c r="BH6" i="21"/>
  <c r="BG6" i="21"/>
  <c r="BF6" i="21"/>
  <c r="BI5" i="21"/>
  <c r="BH5" i="21"/>
  <c r="BG5" i="21"/>
  <c r="BF5" i="21"/>
  <c r="BI4" i="21"/>
  <c r="BH4" i="21"/>
  <c r="BG4" i="21"/>
  <c r="BF4" i="21"/>
  <c r="BE104" i="21"/>
  <c r="BD104" i="21"/>
  <c r="BC104" i="21"/>
  <c r="BB104" i="21"/>
  <c r="BE103" i="21"/>
  <c r="BD103" i="21"/>
  <c r="BC103" i="21"/>
  <c r="BB103" i="21"/>
  <c r="BE102" i="21"/>
  <c r="BD102" i="21"/>
  <c r="BC102" i="21"/>
  <c r="BB102" i="21"/>
  <c r="BE101" i="21"/>
  <c r="BD101" i="21"/>
  <c r="BC101" i="21"/>
  <c r="BB101" i="21"/>
  <c r="BE100" i="21"/>
  <c r="BD100" i="21"/>
  <c r="BC100" i="21"/>
  <c r="BB100" i="21"/>
  <c r="BE99" i="21"/>
  <c r="BD99" i="21"/>
  <c r="BC99" i="21"/>
  <c r="BB99" i="21"/>
  <c r="BE98" i="21"/>
  <c r="BD98" i="21"/>
  <c r="BC98" i="21"/>
  <c r="BB98" i="21"/>
  <c r="BE97" i="21"/>
  <c r="BD97" i="21"/>
  <c r="BC97" i="21"/>
  <c r="BB97" i="21"/>
  <c r="BE96" i="21"/>
  <c r="BD96" i="21"/>
  <c r="BC96" i="21"/>
  <c r="BB96" i="21"/>
  <c r="BE95" i="21"/>
  <c r="BD95" i="21"/>
  <c r="BC95" i="21"/>
  <c r="BB95" i="21"/>
  <c r="BE94" i="21"/>
  <c r="BD94" i="21"/>
  <c r="BC94" i="21"/>
  <c r="BB94" i="21"/>
  <c r="BE93" i="21"/>
  <c r="BD93" i="21"/>
  <c r="BC93" i="21"/>
  <c r="BB93" i="21"/>
  <c r="BE92" i="21"/>
  <c r="BD92" i="21"/>
  <c r="BC92" i="21"/>
  <c r="BB92" i="21"/>
  <c r="BE91" i="21"/>
  <c r="BD91" i="21"/>
  <c r="BC91" i="21"/>
  <c r="BB91" i="21"/>
  <c r="BE85" i="21"/>
  <c r="BD85" i="21"/>
  <c r="BC85" i="21"/>
  <c r="BB85" i="21"/>
  <c r="BE84" i="21"/>
  <c r="BD84" i="21"/>
  <c r="BC84" i="21"/>
  <c r="BB84" i="21"/>
  <c r="BE83" i="21"/>
  <c r="BD83" i="21"/>
  <c r="BC83" i="21"/>
  <c r="BB83" i="21"/>
  <c r="BE82" i="21"/>
  <c r="BD82" i="21"/>
  <c r="BC82" i="21"/>
  <c r="BB82" i="21"/>
  <c r="BE81" i="21"/>
  <c r="BD81" i="21"/>
  <c r="BC81" i="21"/>
  <c r="BB81" i="21"/>
  <c r="BE80" i="21"/>
  <c r="BD80" i="21"/>
  <c r="BC80" i="21"/>
  <c r="BB80" i="21"/>
  <c r="BE79" i="21"/>
  <c r="BD79" i="21"/>
  <c r="BC79" i="21"/>
  <c r="BB79" i="21"/>
  <c r="BE78" i="21"/>
  <c r="BD78" i="21"/>
  <c r="BC78" i="21"/>
  <c r="BB78" i="21"/>
  <c r="BE77" i="21"/>
  <c r="BD77" i="21"/>
  <c r="BC77" i="21"/>
  <c r="BB77" i="21"/>
  <c r="BE76" i="21"/>
  <c r="BD76" i="21"/>
  <c r="BC76" i="21"/>
  <c r="BB76" i="21"/>
  <c r="BE75" i="21"/>
  <c r="BD75" i="21"/>
  <c r="BC75" i="21"/>
  <c r="BB75" i="21"/>
  <c r="BE74" i="21"/>
  <c r="BD74" i="21"/>
  <c r="BC74" i="21"/>
  <c r="BB74" i="21"/>
  <c r="BE73" i="21"/>
  <c r="BD73" i="21"/>
  <c r="BC73" i="21"/>
  <c r="BB73" i="21"/>
  <c r="BE72" i="21"/>
  <c r="BD72" i="21"/>
  <c r="BC72" i="21"/>
  <c r="BB72" i="21"/>
  <c r="BE71" i="21"/>
  <c r="BD71" i="21"/>
  <c r="BC71" i="21"/>
  <c r="BB71" i="21"/>
  <c r="BE70" i="21"/>
  <c r="BD70" i="21"/>
  <c r="BC70" i="21"/>
  <c r="BB70" i="21"/>
  <c r="BE69" i="21"/>
  <c r="BD69" i="21"/>
  <c r="BC69" i="21"/>
  <c r="BB69" i="21"/>
  <c r="BE68" i="21"/>
  <c r="BD68" i="21"/>
  <c r="BC68" i="21"/>
  <c r="BB68" i="21"/>
  <c r="BE67" i="21"/>
  <c r="BD67" i="21"/>
  <c r="BC67" i="21"/>
  <c r="BB67" i="21"/>
  <c r="BE66" i="21"/>
  <c r="BD66" i="21"/>
  <c r="BC66" i="21"/>
  <c r="BB66" i="21"/>
  <c r="BE65" i="21"/>
  <c r="BD65" i="21"/>
  <c r="BC65" i="21"/>
  <c r="BB65" i="21"/>
  <c r="BE64" i="21"/>
  <c r="BD64" i="21"/>
  <c r="BC64" i="21"/>
  <c r="BB64" i="21"/>
  <c r="BE63" i="21"/>
  <c r="BD63" i="21"/>
  <c r="BC63" i="21"/>
  <c r="BB63" i="21"/>
  <c r="BE62" i="21"/>
  <c r="BD62" i="21"/>
  <c r="BC62" i="21"/>
  <c r="BB62" i="21"/>
  <c r="BE61" i="21"/>
  <c r="BD61" i="21"/>
  <c r="BC61" i="21"/>
  <c r="BB61" i="21"/>
  <c r="BE60" i="21"/>
  <c r="BD60" i="21"/>
  <c r="BC60" i="21"/>
  <c r="BB60" i="21"/>
  <c r="BE59" i="21"/>
  <c r="BD59" i="21"/>
  <c r="BC59" i="21"/>
  <c r="BB59" i="21"/>
  <c r="BE58" i="21"/>
  <c r="BD58" i="21"/>
  <c r="BC58" i="21"/>
  <c r="BB58" i="21"/>
  <c r="BE57" i="21"/>
  <c r="BD57" i="21"/>
  <c r="BC57" i="21"/>
  <c r="BB57" i="21"/>
  <c r="BE56" i="21"/>
  <c r="BD56" i="21"/>
  <c r="BC56" i="21"/>
  <c r="BB56" i="21"/>
  <c r="BE55" i="21"/>
  <c r="BD55" i="21"/>
  <c r="BC55" i="21"/>
  <c r="BB55" i="21"/>
  <c r="BE54" i="21"/>
  <c r="BD54" i="21"/>
  <c r="BC54" i="21"/>
  <c r="BB54" i="21"/>
  <c r="BE53" i="21"/>
  <c r="BD53" i="21"/>
  <c r="BC53" i="21"/>
  <c r="BB53" i="21"/>
  <c r="BE52" i="21"/>
  <c r="BD52" i="21"/>
  <c r="BC52" i="21"/>
  <c r="BB52" i="21"/>
  <c r="BE51" i="21"/>
  <c r="BD51" i="21"/>
  <c r="BC51" i="21"/>
  <c r="BB51" i="21"/>
  <c r="BE50" i="21"/>
  <c r="BD50" i="21"/>
  <c r="BC50" i="21"/>
  <c r="BB50" i="21"/>
  <c r="BE49" i="21"/>
  <c r="BD49" i="21"/>
  <c r="BC49" i="21"/>
  <c r="BB49" i="21"/>
  <c r="BE48" i="21"/>
  <c r="BD48" i="21"/>
  <c r="BC48" i="21"/>
  <c r="BB48" i="21"/>
  <c r="BE47" i="21"/>
  <c r="BD47" i="21"/>
  <c r="BC47" i="21"/>
  <c r="BB47" i="21"/>
  <c r="BE46" i="21"/>
  <c r="BD46" i="21"/>
  <c r="BC46" i="21"/>
  <c r="BB46" i="21"/>
  <c r="BE45" i="21"/>
  <c r="BD45" i="21"/>
  <c r="BC45" i="21"/>
  <c r="BB45" i="21"/>
  <c r="BE44" i="21"/>
  <c r="BD44" i="21"/>
  <c r="BC44" i="21"/>
  <c r="BB44" i="21"/>
  <c r="BE43" i="21"/>
  <c r="BD43" i="21"/>
  <c r="BC43" i="21"/>
  <c r="BB43" i="21"/>
  <c r="BE42" i="21"/>
  <c r="BD42" i="21"/>
  <c r="BC42" i="21"/>
  <c r="BB42" i="21"/>
  <c r="BE41" i="21"/>
  <c r="BD41" i="21"/>
  <c r="BC41" i="21"/>
  <c r="BB41" i="21"/>
  <c r="BE40" i="21"/>
  <c r="BD40" i="21"/>
  <c r="BC40" i="21"/>
  <c r="BB40" i="21"/>
  <c r="BE39" i="21"/>
  <c r="BD39" i="21"/>
  <c r="BC39" i="21"/>
  <c r="BB39" i="21"/>
  <c r="BE38" i="21"/>
  <c r="BD38" i="21"/>
  <c r="BC38" i="21"/>
  <c r="BB38" i="21"/>
  <c r="BE37" i="21"/>
  <c r="BD37" i="21"/>
  <c r="BC37" i="21"/>
  <c r="BB37" i="21"/>
  <c r="BE36" i="21"/>
  <c r="BD36" i="21"/>
  <c r="BC36" i="21"/>
  <c r="BB36" i="21"/>
  <c r="BE35" i="21"/>
  <c r="BD35" i="21"/>
  <c r="BC35" i="21"/>
  <c r="BB35" i="21"/>
  <c r="BE34" i="21"/>
  <c r="BD34" i="21"/>
  <c r="BC34" i="21"/>
  <c r="BB34" i="21"/>
  <c r="BE33" i="21"/>
  <c r="BD33" i="21"/>
  <c r="BC33" i="21"/>
  <c r="BB33" i="21"/>
  <c r="BE32" i="21"/>
  <c r="BD32" i="21"/>
  <c r="BC32" i="21"/>
  <c r="BB32" i="21"/>
  <c r="BE31" i="21"/>
  <c r="BD31" i="21"/>
  <c r="BC31" i="21"/>
  <c r="BB31" i="21"/>
  <c r="BE30" i="21"/>
  <c r="BD30" i="21"/>
  <c r="BC30" i="21"/>
  <c r="BB30" i="21"/>
  <c r="BE29" i="21"/>
  <c r="BD29" i="21"/>
  <c r="BC29" i="21"/>
  <c r="BB29" i="21"/>
  <c r="BE28" i="21"/>
  <c r="BD28" i="21"/>
  <c r="BC28" i="21"/>
  <c r="BB28" i="21"/>
  <c r="BE27" i="21"/>
  <c r="BD27" i="21"/>
  <c r="BC27" i="21"/>
  <c r="BB27" i="21"/>
  <c r="BE26" i="21"/>
  <c r="BD26" i="21"/>
  <c r="BC26" i="21"/>
  <c r="BB26" i="21"/>
  <c r="BE25" i="21"/>
  <c r="BD25" i="21"/>
  <c r="BC25" i="21"/>
  <c r="BB25" i="21"/>
  <c r="BE24" i="21"/>
  <c r="BD24" i="21"/>
  <c r="BC24" i="21"/>
  <c r="BB24" i="21"/>
  <c r="BE23" i="21"/>
  <c r="BD23" i="21"/>
  <c r="BC23" i="21"/>
  <c r="BB23" i="21"/>
  <c r="BE22" i="21"/>
  <c r="BD22" i="21"/>
  <c r="BC22" i="21"/>
  <c r="BB22" i="21"/>
  <c r="BE21" i="21"/>
  <c r="BD21" i="21"/>
  <c r="BC21" i="21"/>
  <c r="BB21" i="21"/>
  <c r="BE20" i="21"/>
  <c r="BD20" i="21"/>
  <c r="BC20" i="21"/>
  <c r="BB20" i="21"/>
  <c r="BE19" i="21"/>
  <c r="BD19" i="21"/>
  <c r="BC19" i="21"/>
  <c r="BB19" i="21"/>
  <c r="BE18" i="21"/>
  <c r="BD18" i="21"/>
  <c r="BC18" i="21"/>
  <c r="BB18" i="21"/>
  <c r="BE17" i="21"/>
  <c r="BD17" i="21"/>
  <c r="BC17" i="21"/>
  <c r="BB17" i="21"/>
  <c r="BE16" i="21"/>
  <c r="BD16" i="21"/>
  <c r="BC16" i="21"/>
  <c r="BB16" i="21"/>
  <c r="BE15" i="21"/>
  <c r="BD15" i="21"/>
  <c r="BC15" i="21"/>
  <c r="BB15" i="21"/>
  <c r="BE14" i="21"/>
  <c r="BD14" i="21"/>
  <c r="BC14" i="21"/>
  <c r="BB14" i="21"/>
  <c r="BE13" i="21"/>
  <c r="BD13" i="21"/>
  <c r="BC13" i="21"/>
  <c r="BB13" i="21"/>
  <c r="BE12" i="21"/>
  <c r="BD12" i="21"/>
  <c r="BC12" i="21"/>
  <c r="BB12" i="21"/>
  <c r="BE11" i="21"/>
  <c r="BD11" i="21"/>
  <c r="BC11" i="21"/>
  <c r="BB11" i="21"/>
  <c r="BE10" i="21"/>
  <c r="BD10" i="21"/>
  <c r="BC10" i="21"/>
  <c r="BB10" i="21"/>
  <c r="BE9" i="21"/>
  <c r="BD9" i="21"/>
  <c r="BC9" i="21"/>
  <c r="BB9" i="21"/>
  <c r="BE8" i="21"/>
  <c r="BD8" i="21"/>
  <c r="BC8" i="21"/>
  <c r="BB8" i="21"/>
  <c r="BE7" i="21"/>
  <c r="BD7" i="21"/>
  <c r="BC7" i="21"/>
  <c r="BB7" i="21"/>
  <c r="BE6" i="21"/>
  <c r="BD6" i="21"/>
  <c r="BC6" i="21"/>
  <c r="BB6" i="21"/>
  <c r="BE5" i="21"/>
  <c r="BD5" i="21"/>
  <c r="BC5" i="21"/>
  <c r="BB5" i="21"/>
  <c r="BE4" i="21"/>
  <c r="BD4" i="21"/>
  <c r="BC4" i="21"/>
  <c r="BB4" i="21"/>
  <c r="BA104" i="21"/>
  <c r="AZ104" i="21"/>
  <c r="AY104" i="21"/>
  <c r="AX104" i="21"/>
  <c r="BA103" i="21"/>
  <c r="AZ103" i="21"/>
  <c r="AY103" i="21"/>
  <c r="AX103" i="21"/>
  <c r="BA102" i="21"/>
  <c r="AZ102" i="21"/>
  <c r="AY102" i="21"/>
  <c r="AX102" i="21"/>
  <c r="BA101" i="21"/>
  <c r="AZ101" i="21"/>
  <c r="AY101" i="21"/>
  <c r="AX101" i="21"/>
  <c r="BA100" i="21"/>
  <c r="AZ100" i="21"/>
  <c r="AY100" i="21"/>
  <c r="AX100" i="21"/>
  <c r="BA99" i="21"/>
  <c r="AZ99" i="21"/>
  <c r="AY99" i="21"/>
  <c r="AX99" i="21"/>
  <c r="BA98" i="21"/>
  <c r="AZ98" i="21"/>
  <c r="AY98" i="21"/>
  <c r="AX98" i="21"/>
  <c r="BA97" i="21"/>
  <c r="AZ97" i="21"/>
  <c r="AY97" i="21"/>
  <c r="AX97" i="21"/>
  <c r="BA96" i="21"/>
  <c r="AZ96" i="21"/>
  <c r="AY96" i="21"/>
  <c r="AX96" i="21"/>
  <c r="BA95" i="21"/>
  <c r="AZ95" i="21"/>
  <c r="AY95" i="21"/>
  <c r="AX95" i="21"/>
  <c r="BA94" i="21"/>
  <c r="AZ94" i="21"/>
  <c r="AY94" i="21"/>
  <c r="AX94" i="21"/>
  <c r="BA93" i="21"/>
  <c r="AZ93" i="21"/>
  <c r="AY93" i="21"/>
  <c r="AX93" i="21"/>
  <c r="BA92" i="21"/>
  <c r="AZ92" i="21"/>
  <c r="AY92" i="21"/>
  <c r="AX92" i="21"/>
  <c r="BA91" i="21"/>
  <c r="AZ91" i="21"/>
  <c r="AY91" i="21"/>
  <c r="AX91" i="21"/>
  <c r="BA85" i="21"/>
  <c r="AZ85" i="21"/>
  <c r="AY85" i="21"/>
  <c r="AX85" i="21"/>
  <c r="BA84" i="21"/>
  <c r="AZ84" i="21"/>
  <c r="AY84" i="21"/>
  <c r="AX84" i="21"/>
  <c r="BA83" i="21"/>
  <c r="AZ83" i="21"/>
  <c r="AY83" i="21"/>
  <c r="AX83" i="21"/>
  <c r="BA82" i="21"/>
  <c r="AZ82" i="21"/>
  <c r="AY82" i="21"/>
  <c r="AX82" i="21"/>
  <c r="BA81" i="21"/>
  <c r="AZ81" i="21"/>
  <c r="AY81" i="21"/>
  <c r="AX81" i="21"/>
  <c r="BA80" i="21"/>
  <c r="AZ80" i="21"/>
  <c r="AY80" i="21"/>
  <c r="AX80" i="21"/>
  <c r="BA79" i="21"/>
  <c r="AZ79" i="21"/>
  <c r="AY79" i="21"/>
  <c r="AX79" i="21"/>
  <c r="BA78" i="21"/>
  <c r="AZ78" i="21"/>
  <c r="AY78" i="21"/>
  <c r="AX78" i="21"/>
  <c r="BA77" i="21"/>
  <c r="AZ77" i="21"/>
  <c r="AY77" i="21"/>
  <c r="AX77" i="21"/>
  <c r="BA76" i="21"/>
  <c r="AZ76" i="21"/>
  <c r="AY76" i="21"/>
  <c r="AX76" i="21"/>
  <c r="BA75" i="21"/>
  <c r="AZ75" i="21"/>
  <c r="AY75" i="21"/>
  <c r="AX75" i="21"/>
  <c r="BA74" i="21"/>
  <c r="AZ74" i="21"/>
  <c r="AY74" i="21"/>
  <c r="AX74" i="21"/>
  <c r="BA73" i="21"/>
  <c r="AZ73" i="21"/>
  <c r="AY73" i="21"/>
  <c r="AX73" i="21"/>
  <c r="BA72" i="21"/>
  <c r="AZ72" i="21"/>
  <c r="AY72" i="21"/>
  <c r="AX72" i="21"/>
  <c r="BA71" i="21"/>
  <c r="AZ71" i="21"/>
  <c r="AY71" i="21"/>
  <c r="AX71" i="21"/>
  <c r="BA70" i="21"/>
  <c r="AZ70" i="21"/>
  <c r="AY70" i="21"/>
  <c r="AX70" i="21"/>
  <c r="BA69" i="21"/>
  <c r="AZ69" i="21"/>
  <c r="AY69" i="21"/>
  <c r="AX69" i="21"/>
  <c r="BA68" i="21"/>
  <c r="AZ68" i="21"/>
  <c r="AY68" i="21"/>
  <c r="AX68" i="21"/>
  <c r="BA67" i="21"/>
  <c r="AZ67" i="21"/>
  <c r="AY67" i="21"/>
  <c r="AX67" i="21"/>
  <c r="BA66" i="21"/>
  <c r="AZ66" i="21"/>
  <c r="AY66" i="21"/>
  <c r="AX66" i="21"/>
  <c r="BA65" i="21"/>
  <c r="AZ65" i="21"/>
  <c r="AY65" i="21"/>
  <c r="AX65" i="21"/>
  <c r="BA64" i="21"/>
  <c r="AZ64" i="21"/>
  <c r="AY64" i="21"/>
  <c r="AX64" i="21"/>
  <c r="BA63" i="21"/>
  <c r="AZ63" i="21"/>
  <c r="AY63" i="21"/>
  <c r="AX63" i="21"/>
  <c r="BA62" i="21"/>
  <c r="AZ62" i="21"/>
  <c r="AY62" i="21"/>
  <c r="AX62" i="21"/>
  <c r="BA61" i="21"/>
  <c r="AZ61" i="21"/>
  <c r="AY61" i="21"/>
  <c r="AX61" i="21"/>
  <c r="BA60" i="21"/>
  <c r="AZ60" i="21"/>
  <c r="AY60" i="21"/>
  <c r="AX60" i="21"/>
  <c r="BA59" i="21"/>
  <c r="AZ59" i="21"/>
  <c r="AY59" i="21"/>
  <c r="AX59" i="21"/>
  <c r="BA58" i="21"/>
  <c r="AZ58" i="21"/>
  <c r="AY58" i="21"/>
  <c r="AX58" i="21"/>
  <c r="BA57" i="21"/>
  <c r="AZ57" i="21"/>
  <c r="AY57" i="21"/>
  <c r="AX57" i="21"/>
  <c r="BA56" i="21"/>
  <c r="AZ56" i="21"/>
  <c r="AY56" i="21"/>
  <c r="AX56" i="21"/>
  <c r="BA55" i="21"/>
  <c r="AZ55" i="21"/>
  <c r="AY55" i="21"/>
  <c r="AX55" i="21"/>
  <c r="BA54" i="21"/>
  <c r="AZ54" i="21"/>
  <c r="AY54" i="21"/>
  <c r="AX54" i="21"/>
  <c r="BA53" i="21"/>
  <c r="AZ53" i="21"/>
  <c r="AY53" i="21"/>
  <c r="AX53" i="21"/>
  <c r="BA52" i="21"/>
  <c r="AZ52" i="21"/>
  <c r="AY52" i="21"/>
  <c r="AX52" i="21"/>
  <c r="BA51" i="21"/>
  <c r="AZ51" i="21"/>
  <c r="AY51" i="21"/>
  <c r="AX51" i="21"/>
  <c r="BA50" i="21"/>
  <c r="AZ50" i="21"/>
  <c r="AY50" i="21"/>
  <c r="AX50" i="21"/>
  <c r="BA49" i="21"/>
  <c r="AZ49" i="21"/>
  <c r="AY49" i="21"/>
  <c r="AX49" i="21"/>
  <c r="BA48" i="21"/>
  <c r="AZ48" i="21"/>
  <c r="AY48" i="21"/>
  <c r="AX48" i="21"/>
  <c r="BA47" i="21"/>
  <c r="AZ47" i="21"/>
  <c r="AY47" i="21"/>
  <c r="AX47" i="21"/>
  <c r="BA46" i="21"/>
  <c r="AZ46" i="21"/>
  <c r="AY46" i="21"/>
  <c r="AX46" i="21"/>
  <c r="BA45" i="21"/>
  <c r="AZ45" i="21"/>
  <c r="AY45" i="21"/>
  <c r="AX45" i="21"/>
  <c r="BA44" i="21"/>
  <c r="AZ44" i="21"/>
  <c r="AY44" i="21"/>
  <c r="AX44" i="21"/>
  <c r="BA43" i="21"/>
  <c r="AZ43" i="21"/>
  <c r="AY43" i="21"/>
  <c r="AX43" i="21"/>
  <c r="BA42" i="21"/>
  <c r="AZ42" i="21"/>
  <c r="AY42" i="21"/>
  <c r="AX42" i="21"/>
  <c r="BA41" i="21"/>
  <c r="AZ41" i="21"/>
  <c r="AY41" i="21"/>
  <c r="AX41" i="21"/>
  <c r="BA40" i="21"/>
  <c r="AZ40" i="21"/>
  <c r="AY40" i="21"/>
  <c r="AX40" i="21"/>
  <c r="BA39" i="21"/>
  <c r="AZ39" i="21"/>
  <c r="AY39" i="21"/>
  <c r="AX39" i="21"/>
  <c r="BA38" i="21"/>
  <c r="AZ38" i="21"/>
  <c r="AY38" i="21"/>
  <c r="AX38" i="21"/>
  <c r="BA37" i="21"/>
  <c r="AZ37" i="21"/>
  <c r="AY37" i="21"/>
  <c r="AX37" i="21"/>
  <c r="BA36" i="21"/>
  <c r="AZ36" i="21"/>
  <c r="AY36" i="21"/>
  <c r="AX36" i="21"/>
  <c r="BA35" i="21"/>
  <c r="AZ35" i="21"/>
  <c r="AY35" i="21"/>
  <c r="AX35" i="21"/>
  <c r="BA34" i="21"/>
  <c r="AZ34" i="21"/>
  <c r="AY34" i="21"/>
  <c r="AX34" i="21"/>
  <c r="BA33" i="21"/>
  <c r="AZ33" i="21"/>
  <c r="AY33" i="21"/>
  <c r="AX33" i="21"/>
  <c r="BA32" i="21"/>
  <c r="AZ32" i="21"/>
  <c r="AY32" i="21"/>
  <c r="AX32" i="21"/>
  <c r="BA31" i="21"/>
  <c r="AZ31" i="21"/>
  <c r="AY31" i="21"/>
  <c r="AX31" i="21"/>
  <c r="BA30" i="21"/>
  <c r="AZ30" i="21"/>
  <c r="AY30" i="21"/>
  <c r="AX30" i="21"/>
  <c r="BA29" i="21"/>
  <c r="AZ29" i="21"/>
  <c r="AY29" i="21"/>
  <c r="AX29" i="21"/>
  <c r="BA28" i="21"/>
  <c r="AZ28" i="21"/>
  <c r="AY28" i="21"/>
  <c r="AX28" i="21"/>
  <c r="BA27" i="21"/>
  <c r="AZ27" i="21"/>
  <c r="AY27" i="21"/>
  <c r="AX27" i="21"/>
  <c r="BA26" i="21"/>
  <c r="AZ26" i="21"/>
  <c r="AY26" i="21"/>
  <c r="AX26" i="21"/>
  <c r="BA25" i="21"/>
  <c r="AZ25" i="21"/>
  <c r="AY25" i="21"/>
  <c r="AX25" i="21"/>
  <c r="BA24" i="21"/>
  <c r="AZ24" i="21"/>
  <c r="AY24" i="21"/>
  <c r="AX24" i="21"/>
  <c r="BA23" i="21"/>
  <c r="AZ23" i="21"/>
  <c r="AY23" i="21"/>
  <c r="AX23" i="21"/>
  <c r="BA22" i="21"/>
  <c r="AZ22" i="21"/>
  <c r="AY22" i="21"/>
  <c r="AX22" i="21"/>
  <c r="BA21" i="21"/>
  <c r="AZ21" i="21"/>
  <c r="AY21" i="21"/>
  <c r="AX21" i="21"/>
  <c r="BA20" i="21"/>
  <c r="AZ20" i="21"/>
  <c r="AY20" i="21"/>
  <c r="AX20" i="21"/>
  <c r="BA19" i="21"/>
  <c r="AZ19" i="21"/>
  <c r="AY19" i="21"/>
  <c r="AX19" i="21"/>
  <c r="BA18" i="21"/>
  <c r="AZ18" i="21"/>
  <c r="AY18" i="21"/>
  <c r="AX18" i="21"/>
  <c r="BA17" i="21"/>
  <c r="AZ17" i="21"/>
  <c r="AY17" i="21"/>
  <c r="AX17" i="21"/>
  <c r="BA16" i="21"/>
  <c r="AZ16" i="21"/>
  <c r="AY16" i="21"/>
  <c r="AX16" i="21"/>
  <c r="BA15" i="21"/>
  <c r="AZ15" i="21"/>
  <c r="AY15" i="21"/>
  <c r="AX15" i="21"/>
  <c r="BA14" i="21"/>
  <c r="AZ14" i="21"/>
  <c r="AY14" i="21"/>
  <c r="AX14" i="21"/>
  <c r="BA13" i="21"/>
  <c r="AZ13" i="21"/>
  <c r="AY13" i="21"/>
  <c r="AX13" i="21"/>
  <c r="BA12" i="21"/>
  <c r="AZ12" i="21"/>
  <c r="AY12" i="21"/>
  <c r="AX12" i="21"/>
  <c r="BA11" i="21"/>
  <c r="AZ11" i="21"/>
  <c r="AY11" i="21"/>
  <c r="AX11" i="21"/>
  <c r="BA10" i="21"/>
  <c r="AZ10" i="21"/>
  <c r="AY10" i="21"/>
  <c r="AX10" i="21"/>
  <c r="BA9" i="21"/>
  <c r="AZ9" i="21"/>
  <c r="AY9" i="21"/>
  <c r="AX9" i="21"/>
  <c r="BA8" i="21"/>
  <c r="AZ8" i="21"/>
  <c r="AY8" i="21"/>
  <c r="AX8" i="21"/>
  <c r="BA7" i="21"/>
  <c r="AZ7" i="21"/>
  <c r="AY7" i="21"/>
  <c r="AX7" i="21"/>
  <c r="BA6" i="21"/>
  <c r="AZ6" i="21"/>
  <c r="AY6" i="21"/>
  <c r="AX6" i="21"/>
  <c r="BA5" i="21"/>
  <c r="AZ5" i="21"/>
  <c r="AY5" i="21"/>
  <c r="AX5" i="21"/>
  <c r="BA4" i="21"/>
  <c r="AZ4" i="21"/>
  <c r="AY4" i="21"/>
  <c r="AX4" i="21"/>
  <c r="AW104" i="21"/>
  <c r="AV104" i="21"/>
  <c r="AU104" i="21"/>
  <c r="AT104" i="21"/>
  <c r="AW103" i="21"/>
  <c r="AV103" i="21"/>
  <c r="AU103" i="21"/>
  <c r="AT103" i="21"/>
  <c r="AW102" i="21"/>
  <c r="AV102" i="21"/>
  <c r="AU102" i="21"/>
  <c r="AT102" i="21"/>
  <c r="AW101" i="21"/>
  <c r="AV101" i="21"/>
  <c r="AU101" i="21"/>
  <c r="AT101" i="21"/>
  <c r="AW100" i="21"/>
  <c r="AV100" i="21"/>
  <c r="AU100" i="21"/>
  <c r="AT100" i="21"/>
  <c r="AW99" i="21"/>
  <c r="AV99" i="21"/>
  <c r="AU99" i="21"/>
  <c r="AT99" i="21"/>
  <c r="AW98" i="21"/>
  <c r="AV98" i="21"/>
  <c r="AU98" i="21"/>
  <c r="AT98" i="21"/>
  <c r="AW97" i="21"/>
  <c r="AV97" i="21"/>
  <c r="AU97" i="21"/>
  <c r="AT97" i="21"/>
  <c r="AW96" i="21"/>
  <c r="AV96" i="21"/>
  <c r="AU96" i="21"/>
  <c r="AT96" i="21"/>
  <c r="AW95" i="21"/>
  <c r="AV95" i="21"/>
  <c r="AU95" i="21"/>
  <c r="AT95" i="21"/>
  <c r="AW94" i="21"/>
  <c r="AV94" i="21"/>
  <c r="AU94" i="21"/>
  <c r="AT94" i="21"/>
  <c r="AW93" i="21"/>
  <c r="AV93" i="21"/>
  <c r="AU93" i="21"/>
  <c r="AT93" i="21"/>
  <c r="AW92" i="21"/>
  <c r="AV92" i="21"/>
  <c r="AU92" i="21"/>
  <c r="AT92" i="21"/>
  <c r="AW91" i="21"/>
  <c r="AV91" i="21"/>
  <c r="AU91" i="21"/>
  <c r="AT91" i="21"/>
  <c r="AW85" i="21"/>
  <c r="AV85" i="21"/>
  <c r="AU85" i="21"/>
  <c r="AT85" i="21"/>
  <c r="AW84" i="21"/>
  <c r="AV84" i="21"/>
  <c r="AU84" i="21"/>
  <c r="AT84" i="21"/>
  <c r="AW83" i="21"/>
  <c r="AV83" i="21"/>
  <c r="AU83" i="21"/>
  <c r="AT83" i="21"/>
  <c r="AW82" i="21"/>
  <c r="AV82" i="21"/>
  <c r="AU82" i="21"/>
  <c r="AT82" i="21"/>
  <c r="AW81" i="21"/>
  <c r="AV81" i="21"/>
  <c r="AU81" i="21"/>
  <c r="AT81" i="21"/>
  <c r="AW80" i="21"/>
  <c r="AV80" i="21"/>
  <c r="AU80" i="21"/>
  <c r="AT80" i="21"/>
  <c r="AW79" i="21"/>
  <c r="AV79" i="21"/>
  <c r="AU79" i="21"/>
  <c r="AT79" i="21"/>
  <c r="AW78" i="21"/>
  <c r="AV78" i="21"/>
  <c r="AU78" i="21"/>
  <c r="AT78" i="21"/>
  <c r="AW77" i="21"/>
  <c r="AV77" i="21"/>
  <c r="AU77" i="21"/>
  <c r="AT77" i="21"/>
  <c r="AW76" i="21"/>
  <c r="AV76" i="21"/>
  <c r="AU76" i="21"/>
  <c r="AT76" i="21"/>
  <c r="AW75" i="21"/>
  <c r="AV75" i="21"/>
  <c r="AU75" i="21"/>
  <c r="AT75" i="21"/>
  <c r="AW74" i="21"/>
  <c r="AV74" i="21"/>
  <c r="AU74" i="21"/>
  <c r="AT74" i="21"/>
  <c r="AW73" i="21"/>
  <c r="AV73" i="21"/>
  <c r="AU73" i="21"/>
  <c r="AT73" i="21"/>
  <c r="AW72" i="21"/>
  <c r="AV72" i="21"/>
  <c r="AU72" i="21"/>
  <c r="AT72" i="21"/>
  <c r="AW71" i="21"/>
  <c r="AV71" i="21"/>
  <c r="AU71" i="21"/>
  <c r="AT71" i="21"/>
  <c r="AW70" i="21"/>
  <c r="AV70" i="21"/>
  <c r="AU70" i="21"/>
  <c r="AT70" i="21"/>
  <c r="AW69" i="21"/>
  <c r="AV69" i="21"/>
  <c r="AU69" i="21"/>
  <c r="AT69" i="21"/>
  <c r="AW68" i="21"/>
  <c r="AV68" i="21"/>
  <c r="AU68" i="21"/>
  <c r="AT68" i="21"/>
  <c r="AW67" i="21"/>
  <c r="AV67" i="21"/>
  <c r="AU67" i="21"/>
  <c r="AT67" i="21"/>
  <c r="AW66" i="21"/>
  <c r="AV66" i="21"/>
  <c r="AU66" i="21"/>
  <c r="AT66" i="21"/>
  <c r="AW65" i="21"/>
  <c r="AV65" i="21"/>
  <c r="AU65" i="21"/>
  <c r="AT65" i="21"/>
  <c r="AW64" i="21"/>
  <c r="AV64" i="21"/>
  <c r="AU64" i="21"/>
  <c r="AT64" i="21"/>
  <c r="AW63" i="21"/>
  <c r="AV63" i="21"/>
  <c r="AU63" i="21"/>
  <c r="AT63" i="21"/>
  <c r="AW62" i="21"/>
  <c r="AV62" i="21"/>
  <c r="AU62" i="21"/>
  <c r="AT62" i="21"/>
  <c r="AW61" i="21"/>
  <c r="AV61" i="21"/>
  <c r="AU61" i="21"/>
  <c r="AT61" i="21"/>
  <c r="AW60" i="21"/>
  <c r="AV60" i="21"/>
  <c r="AU60" i="21"/>
  <c r="AT60" i="21"/>
  <c r="AW59" i="21"/>
  <c r="AV59" i="21"/>
  <c r="AU59" i="21"/>
  <c r="AT59" i="21"/>
  <c r="AW58" i="21"/>
  <c r="AV58" i="21"/>
  <c r="AU58" i="21"/>
  <c r="AT58" i="21"/>
  <c r="AW57" i="21"/>
  <c r="AV57" i="21"/>
  <c r="AU57" i="21"/>
  <c r="AT57" i="21"/>
  <c r="AW56" i="21"/>
  <c r="AV56" i="21"/>
  <c r="AU56" i="21"/>
  <c r="AT56" i="21"/>
  <c r="AW55" i="21"/>
  <c r="AV55" i="21"/>
  <c r="AU55" i="21"/>
  <c r="AT55" i="21"/>
  <c r="AW54" i="21"/>
  <c r="AV54" i="21"/>
  <c r="AU54" i="21"/>
  <c r="AT54" i="21"/>
  <c r="AW53" i="21"/>
  <c r="AV53" i="21"/>
  <c r="AU53" i="21"/>
  <c r="AT53" i="21"/>
  <c r="AW52" i="21"/>
  <c r="AV52" i="21"/>
  <c r="AU52" i="21"/>
  <c r="AT52" i="21"/>
  <c r="AW51" i="21"/>
  <c r="AV51" i="21"/>
  <c r="AU51" i="21"/>
  <c r="AT51" i="21"/>
  <c r="AW50" i="21"/>
  <c r="AV50" i="21"/>
  <c r="AU50" i="21"/>
  <c r="AT50" i="21"/>
  <c r="AW49" i="21"/>
  <c r="AV49" i="21"/>
  <c r="AU49" i="21"/>
  <c r="AT49" i="21"/>
  <c r="AW48" i="21"/>
  <c r="AV48" i="21"/>
  <c r="AU48" i="21"/>
  <c r="AT48" i="21"/>
  <c r="AW47" i="21"/>
  <c r="AV47" i="21"/>
  <c r="AU47" i="21"/>
  <c r="AT47" i="21"/>
  <c r="AW46" i="21"/>
  <c r="AV46" i="21"/>
  <c r="AU46" i="21"/>
  <c r="AT46" i="21"/>
  <c r="AW45" i="21"/>
  <c r="AV45" i="21"/>
  <c r="AU45" i="21"/>
  <c r="AT45" i="21"/>
  <c r="AW44" i="21"/>
  <c r="AV44" i="21"/>
  <c r="AU44" i="21"/>
  <c r="AT44" i="21"/>
  <c r="AW43" i="21"/>
  <c r="AV43" i="21"/>
  <c r="AU43" i="21"/>
  <c r="AT43" i="21"/>
  <c r="AW42" i="21"/>
  <c r="AV42" i="21"/>
  <c r="AU42" i="21"/>
  <c r="AT42" i="21"/>
  <c r="AW41" i="21"/>
  <c r="AV41" i="21"/>
  <c r="AU41" i="21"/>
  <c r="AT41" i="21"/>
  <c r="AW40" i="21"/>
  <c r="AV40" i="21"/>
  <c r="AU40" i="21"/>
  <c r="AT40" i="21"/>
  <c r="AW39" i="21"/>
  <c r="AV39" i="21"/>
  <c r="AU39" i="21"/>
  <c r="AT39" i="21"/>
  <c r="AW38" i="21"/>
  <c r="AV38" i="21"/>
  <c r="AU38" i="21"/>
  <c r="AT38" i="21"/>
  <c r="AW37" i="21"/>
  <c r="AV37" i="21"/>
  <c r="AU37" i="21"/>
  <c r="AT37" i="21"/>
  <c r="AW36" i="21"/>
  <c r="AV36" i="21"/>
  <c r="AU36" i="21"/>
  <c r="AT36" i="21"/>
  <c r="AW35" i="21"/>
  <c r="AV35" i="21"/>
  <c r="AU35" i="21"/>
  <c r="AT35" i="21"/>
  <c r="AW34" i="21"/>
  <c r="AV34" i="21"/>
  <c r="AU34" i="21"/>
  <c r="AT34" i="21"/>
  <c r="AW33" i="21"/>
  <c r="AV33" i="21"/>
  <c r="AU33" i="21"/>
  <c r="AT33" i="21"/>
  <c r="AW32" i="21"/>
  <c r="AV32" i="21"/>
  <c r="AU32" i="21"/>
  <c r="AT32" i="21"/>
  <c r="AW31" i="21"/>
  <c r="AV31" i="21"/>
  <c r="AU31" i="21"/>
  <c r="AT31" i="21"/>
  <c r="AW30" i="21"/>
  <c r="AV30" i="21"/>
  <c r="AU30" i="21"/>
  <c r="AT30" i="21"/>
  <c r="AW29" i="21"/>
  <c r="AV29" i="21"/>
  <c r="AU29" i="21"/>
  <c r="AT29" i="21"/>
  <c r="AW28" i="21"/>
  <c r="AV28" i="21"/>
  <c r="AU28" i="21"/>
  <c r="AT28" i="21"/>
  <c r="AW27" i="21"/>
  <c r="AV27" i="21"/>
  <c r="AU27" i="21"/>
  <c r="AT27" i="21"/>
  <c r="AW26" i="21"/>
  <c r="AV26" i="21"/>
  <c r="AU26" i="21"/>
  <c r="AT26" i="21"/>
  <c r="AW25" i="21"/>
  <c r="AV25" i="21"/>
  <c r="AU25" i="21"/>
  <c r="AT25" i="21"/>
  <c r="AW24" i="21"/>
  <c r="AV24" i="21"/>
  <c r="AU24" i="21"/>
  <c r="AT24" i="21"/>
  <c r="AW23" i="21"/>
  <c r="AV23" i="21"/>
  <c r="AU23" i="21"/>
  <c r="AT23" i="21"/>
  <c r="AW22" i="21"/>
  <c r="AV22" i="21"/>
  <c r="AU22" i="21"/>
  <c r="AT22" i="21"/>
  <c r="AW21" i="21"/>
  <c r="AV21" i="21"/>
  <c r="AU21" i="21"/>
  <c r="AT21" i="21"/>
  <c r="AW20" i="21"/>
  <c r="AV20" i="21"/>
  <c r="AU20" i="21"/>
  <c r="AT20" i="21"/>
  <c r="AW19" i="21"/>
  <c r="AV19" i="21"/>
  <c r="AU19" i="21"/>
  <c r="AT19" i="21"/>
  <c r="AW18" i="21"/>
  <c r="AV18" i="21"/>
  <c r="AU18" i="21"/>
  <c r="AT18" i="21"/>
  <c r="AW17" i="21"/>
  <c r="AV17" i="21"/>
  <c r="AU17" i="21"/>
  <c r="AT17" i="21"/>
  <c r="AW16" i="21"/>
  <c r="AV16" i="21"/>
  <c r="AU16" i="21"/>
  <c r="AT16" i="21"/>
  <c r="AW15" i="21"/>
  <c r="AV15" i="21"/>
  <c r="AU15" i="21"/>
  <c r="AT15" i="21"/>
  <c r="AW14" i="21"/>
  <c r="AV14" i="21"/>
  <c r="AU14" i="21"/>
  <c r="AT14" i="21"/>
  <c r="AW13" i="21"/>
  <c r="AV13" i="21"/>
  <c r="AU13" i="21"/>
  <c r="AT13" i="21"/>
  <c r="AW12" i="21"/>
  <c r="AV12" i="21"/>
  <c r="AU12" i="21"/>
  <c r="AT12" i="21"/>
  <c r="AW11" i="21"/>
  <c r="AV11" i="21"/>
  <c r="AU11" i="21"/>
  <c r="AT11" i="21"/>
  <c r="AW10" i="21"/>
  <c r="AV10" i="21"/>
  <c r="AU10" i="21"/>
  <c r="AT10" i="21"/>
  <c r="AW9" i="21"/>
  <c r="AV9" i="21"/>
  <c r="AU9" i="21"/>
  <c r="AT9" i="21"/>
  <c r="AW8" i="21"/>
  <c r="AV8" i="21"/>
  <c r="AU8" i="21"/>
  <c r="AT8" i="21"/>
  <c r="AW7" i="21"/>
  <c r="AV7" i="21"/>
  <c r="AU7" i="21"/>
  <c r="AT7" i="21"/>
  <c r="AW6" i="21"/>
  <c r="AV6" i="21"/>
  <c r="AU6" i="21"/>
  <c r="AT6" i="21"/>
  <c r="AW5" i="21"/>
  <c r="AV5" i="21"/>
  <c r="AU5" i="21"/>
  <c r="AT5" i="21"/>
  <c r="AW4" i="21"/>
  <c r="AV4" i="21"/>
  <c r="AU4" i="21"/>
  <c r="AT4" i="21"/>
  <c r="AS104" i="21"/>
  <c r="AR104" i="21"/>
  <c r="AQ104" i="21"/>
  <c r="AP104" i="21"/>
  <c r="AS103" i="21"/>
  <c r="AR103" i="21"/>
  <c r="AQ103" i="21"/>
  <c r="AP103" i="21"/>
  <c r="AS102" i="21"/>
  <c r="AR102" i="21"/>
  <c r="AQ102" i="21"/>
  <c r="AP102" i="21"/>
  <c r="AS101" i="21"/>
  <c r="AR101" i="21"/>
  <c r="AQ101" i="21"/>
  <c r="AP101" i="21"/>
  <c r="AS100" i="21"/>
  <c r="AR100" i="21"/>
  <c r="AQ100" i="21"/>
  <c r="AP100" i="21"/>
  <c r="AS99" i="21"/>
  <c r="AR99" i="21"/>
  <c r="AQ99" i="21"/>
  <c r="AP99" i="21"/>
  <c r="AS98" i="21"/>
  <c r="AR98" i="21"/>
  <c r="AQ98" i="21"/>
  <c r="AP98" i="21"/>
  <c r="AS97" i="21"/>
  <c r="AR97" i="21"/>
  <c r="AQ97" i="21"/>
  <c r="AP97" i="21"/>
  <c r="AS96" i="21"/>
  <c r="AR96" i="21"/>
  <c r="AQ96" i="21"/>
  <c r="AP96" i="21"/>
  <c r="AS95" i="21"/>
  <c r="AR95" i="21"/>
  <c r="AQ95" i="21"/>
  <c r="AP95" i="21"/>
  <c r="AS94" i="21"/>
  <c r="AR94" i="21"/>
  <c r="AQ94" i="21"/>
  <c r="AP94" i="21"/>
  <c r="AS93" i="21"/>
  <c r="AR93" i="21"/>
  <c r="AQ93" i="21"/>
  <c r="AP93" i="21"/>
  <c r="AS92" i="21"/>
  <c r="AR92" i="21"/>
  <c r="AQ92" i="21"/>
  <c r="AP92" i="21"/>
  <c r="AS91" i="21"/>
  <c r="AR91" i="21"/>
  <c r="AQ91" i="21"/>
  <c r="AP91" i="21"/>
  <c r="AS85" i="21"/>
  <c r="AR85" i="21"/>
  <c r="AQ85" i="21"/>
  <c r="AP85" i="21"/>
  <c r="AS84" i="21"/>
  <c r="AR84" i="21"/>
  <c r="AQ84" i="21"/>
  <c r="AP84" i="21"/>
  <c r="AS83" i="21"/>
  <c r="AR83" i="21"/>
  <c r="AQ83" i="21"/>
  <c r="AP83" i="21"/>
  <c r="AS82" i="21"/>
  <c r="AR82" i="21"/>
  <c r="AQ82" i="21"/>
  <c r="AP82" i="21"/>
  <c r="AS81" i="21"/>
  <c r="AR81" i="21"/>
  <c r="AQ81" i="21"/>
  <c r="AP81" i="21"/>
  <c r="AS80" i="21"/>
  <c r="AR80" i="21"/>
  <c r="AQ80" i="21"/>
  <c r="AP80" i="21"/>
  <c r="AS79" i="21"/>
  <c r="AR79" i="21"/>
  <c r="AQ79" i="21"/>
  <c r="AP79" i="21"/>
  <c r="AS78" i="21"/>
  <c r="AR78" i="21"/>
  <c r="AQ78" i="21"/>
  <c r="AP78" i="21"/>
  <c r="AS77" i="21"/>
  <c r="AR77" i="21"/>
  <c r="AQ77" i="21"/>
  <c r="AP77" i="21"/>
  <c r="AS76" i="21"/>
  <c r="AR76" i="21"/>
  <c r="AQ76" i="21"/>
  <c r="AP76" i="21"/>
  <c r="AS75" i="21"/>
  <c r="AR75" i="21"/>
  <c r="AQ75" i="21"/>
  <c r="AP75" i="21"/>
  <c r="AS74" i="21"/>
  <c r="AR74" i="21"/>
  <c r="AQ74" i="21"/>
  <c r="AP74" i="21"/>
  <c r="AS73" i="21"/>
  <c r="AR73" i="21"/>
  <c r="AQ73" i="21"/>
  <c r="AP73" i="21"/>
  <c r="AS72" i="21"/>
  <c r="AR72" i="21"/>
  <c r="AQ72" i="21"/>
  <c r="AP72" i="21"/>
  <c r="AS71" i="21"/>
  <c r="AR71" i="21"/>
  <c r="AQ71" i="21"/>
  <c r="AP71" i="21"/>
  <c r="AS70" i="21"/>
  <c r="AR70" i="21"/>
  <c r="AQ70" i="21"/>
  <c r="AP70" i="21"/>
  <c r="AS69" i="21"/>
  <c r="AR69" i="21"/>
  <c r="AQ69" i="21"/>
  <c r="AP69" i="21"/>
  <c r="AS68" i="21"/>
  <c r="AR68" i="21"/>
  <c r="AQ68" i="21"/>
  <c r="AP68" i="21"/>
  <c r="AS67" i="21"/>
  <c r="AR67" i="21"/>
  <c r="AQ67" i="21"/>
  <c r="AP67" i="21"/>
  <c r="AS66" i="21"/>
  <c r="AR66" i="21"/>
  <c r="AQ66" i="21"/>
  <c r="AP66" i="21"/>
  <c r="AS65" i="21"/>
  <c r="AR65" i="21"/>
  <c r="AQ65" i="21"/>
  <c r="AP65" i="21"/>
  <c r="AS64" i="21"/>
  <c r="AR64" i="21"/>
  <c r="AQ64" i="21"/>
  <c r="AP64" i="21"/>
  <c r="AS63" i="21"/>
  <c r="AR63" i="21"/>
  <c r="AQ63" i="21"/>
  <c r="AP63" i="21"/>
  <c r="AS62" i="21"/>
  <c r="AR62" i="21"/>
  <c r="AQ62" i="21"/>
  <c r="AP62" i="21"/>
  <c r="AS61" i="21"/>
  <c r="AR61" i="21"/>
  <c r="AQ61" i="21"/>
  <c r="AP61" i="21"/>
  <c r="AS60" i="21"/>
  <c r="AR60" i="21"/>
  <c r="AQ60" i="21"/>
  <c r="AP60" i="21"/>
  <c r="AS59" i="21"/>
  <c r="AR59" i="21"/>
  <c r="AQ59" i="21"/>
  <c r="AP59" i="21"/>
  <c r="AS58" i="21"/>
  <c r="AR58" i="21"/>
  <c r="AQ58" i="21"/>
  <c r="AP58" i="21"/>
  <c r="AS57" i="21"/>
  <c r="AR57" i="21"/>
  <c r="AQ57" i="21"/>
  <c r="AP57" i="21"/>
  <c r="AS56" i="21"/>
  <c r="AR56" i="21"/>
  <c r="AQ56" i="21"/>
  <c r="AP56" i="21"/>
  <c r="AS55" i="21"/>
  <c r="AR55" i="21"/>
  <c r="AQ55" i="21"/>
  <c r="AP55" i="21"/>
  <c r="AS54" i="21"/>
  <c r="AR54" i="21"/>
  <c r="AQ54" i="21"/>
  <c r="AP54" i="21"/>
  <c r="AS53" i="21"/>
  <c r="AR53" i="21"/>
  <c r="AQ53" i="21"/>
  <c r="AP53" i="21"/>
  <c r="AS52" i="21"/>
  <c r="AR52" i="21"/>
  <c r="AQ52" i="21"/>
  <c r="AP52" i="21"/>
  <c r="AS51" i="21"/>
  <c r="AR51" i="21"/>
  <c r="AQ51" i="21"/>
  <c r="AP51" i="21"/>
  <c r="AS50" i="21"/>
  <c r="AR50" i="21"/>
  <c r="AQ50" i="21"/>
  <c r="AP50" i="21"/>
  <c r="AS49" i="21"/>
  <c r="AR49" i="21"/>
  <c r="AQ49" i="21"/>
  <c r="AP49" i="21"/>
  <c r="AS48" i="21"/>
  <c r="AR48" i="21"/>
  <c r="AQ48" i="21"/>
  <c r="AP48" i="21"/>
  <c r="AS47" i="21"/>
  <c r="AR47" i="21"/>
  <c r="AQ47" i="21"/>
  <c r="AP47" i="21"/>
  <c r="AS46" i="21"/>
  <c r="AR46" i="21"/>
  <c r="AQ46" i="21"/>
  <c r="AP46" i="21"/>
  <c r="AS45" i="21"/>
  <c r="AR45" i="21"/>
  <c r="AQ45" i="21"/>
  <c r="AP45" i="21"/>
  <c r="AS44" i="21"/>
  <c r="AR44" i="21"/>
  <c r="AQ44" i="21"/>
  <c r="AP44" i="21"/>
  <c r="AS43" i="21"/>
  <c r="AR43" i="21"/>
  <c r="AQ43" i="21"/>
  <c r="AP43" i="21"/>
  <c r="AS42" i="21"/>
  <c r="AR42" i="21"/>
  <c r="AQ42" i="21"/>
  <c r="AP42" i="21"/>
  <c r="AS41" i="21"/>
  <c r="AR41" i="21"/>
  <c r="AQ41" i="21"/>
  <c r="AP41" i="21"/>
  <c r="AS40" i="21"/>
  <c r="AR40" i="21"/>
  <c r="AQ40" i="21"/>
  <c r="AP40" i="21"/>
  <c r="AS39" i="21"/>
  <c r="AR39" i="21"/>
  <c r="AQ39" i="21"/>
  <c r="AP39" i="21"/>
  <c r="AS38" i="21"/>
  <c r="AR38" i="21"/>
  <c r="AQ38" i="21"/>
  <c r="AP38" i="21"/>
  <c r="AS37" i="21"/>
  <c r="AR37" i="21"/>
  <c r="AQ37" i="21"/>
  <c r="AP37" i="21"/>
  <c r="AS36" i="21"/>
  <c r="AR36" i="21"/>
  <c r="AQ36" i="21"/>
  <c r="AP36" i="21"/>
  <c r="AS35" i="21"/>
  <c r="AR35" i="21"/>
  <c r="AQ35" i="21"/>
  <c r="AP35" i="21"/>
  <c r="AS34" i="21"/>
  <c r="AR34" i="21"/>
  <c r="AQ34" i="21"/>
  <c r="AP34" i="21"/>
  <c r="AS33" i="21"/>
  <c r="AR33" i="21"/>
  <c r="AQ33" i="21"/>
  <c r="AP33" i="21"/>
  <c r="AS32" i="21"/>
  <c r="AR32" i="21"/>
  <c r="AQ32" i="21"/>
  <c r="AP32" i="21"/>
  <c r="AS31" i="21"/>
  <c r="AR31" i="21"/>
  <c r="AQ31" i="21"/>
  <c r="AP31" i="21"/>
  <c r="AS30" i="21"/>
  <c r="AR30" i="21"/>
  <c r="AQ30" i="21"/>
  <c r="AP30" i="21"/>
  <c r="AS29" i="21"/>
  <c r="AR29" i="21"/>
  <c r="AQ29" i="21"/>
  <c r="AP29" i="21"/>
  <c r="AS28" i="21"/>
  <c r="AR28" i="21"/>
  <c r="AQ28" i="21"/>
  <c r="AP28" i="21"/>
  <c r="AS27" i="21"/>
  <c r="AR27" i="21"/>
  <c r="AQ27" i="21"/>
  <c r="AP27" i="21"/>
  <c r="AS26" i="21"/>
  <c r="AR26" i="21"/>
  <c r="AQ26" i="21"/>
  <c r="AP26" i="21"/>
  <c r="AS25" i="21"/>
  <c r="AR25" i="21"/>
  <c r="AQ25" i="21"/>
  <c r="AP25" i="21"/>
  <c r="AS24" i="21"/>
  <c r="AR24" i="21"/>
  <c r="AQ24" i="21"/>
  <c r="AP24" i="21"/>
  <c r="AS23" i="21"/>
  <c r="AR23" i="21"/>
  <c r="AQ23" i="21"/>
  <c r="AP23" i="21"/>
  <c r="AS22" i="21"/>
  <c r="AR22" i="21"/>
  <c r="AQ22" i="21"/>
  <c r="AP22" i="21"/>
  <c r="AS21" i="21"/>
  <c r="AR21" i="21"/>
  <c r="AQ21" i="21"/>
  <c r="AP21" i="21"/>
  <c r="AS20" i="21"/>
  <c r="AR20" i="21"/>
  <c r="AQ20" i="21"/>
  <c r="AP20" i="21"/>
  <c r="AS19" i="21"/>
  <c r="AR19" i="21"/>
  <c r="AQ19" i="21"/>
  <c r="AP19" i="21"/>
  <c r="AS18" i="21"/>
  <c r="AR18" i="21"/>
  <c r="AQ18" i="21"/>
  <c r="AP18" i="21"/>
  <c r="AS17" i="21"/>
  <c r="AR17" i="21"/>
  <c r="AQ17" i="21"/>
  <c r="AP17" i="21"/>
  <c r="AS16" i="21"/>
  <c r="AR16" i="21"/>
  <c r="AQ16" i="21"/>
  <c r="AP16" i="21"/>
  <c r="AS15" i="21"/>
  <c r="AR15" i="21"/>
  <c r="AQ15" i="21"/>
  <c r="AP15" i="21"/>
  <c r="AS14" i="21"/>
  <c r="AR14" i="21"/>
  <c r="AQ14" i="21"/>
  <c r="AP14" i="21"/>
  <c r="AS13" i="21"/>
  <c r="AR13" i="21"/>
  <c r="AQ13" i="21"/>
  <c r="AP13" i="21"/>
  <c r="AS12" i="21"/>
  <c r="AR12" i="21"/>
  <c r="AQ12" i="21"/>
  <c r="AP12" i="21"/>
  <c r="AS11" i="21"/>
  <c r="AR11" i="21"/>
  <c r="AQ11" i="21"/>
  <c r="AP11" i="21"/>
  <c r="AS10" i="21"/>
  <c r="AR10" i="21"/>
  <c r="AQ10" i="21"/>
  <c r="AP10" i="21"/>
  <c r="AS9" i="21"/>
  <c r="AR9" i="21"/>
  <c r="AQ9" i="21"/>
  <c r="AP9" i="21"/>
  <c r="AS8" i="21"/>
  <c r="AR8" i="21"/>
  <c r="AQ8" i="21"/>
  <c r="AP8" i="21"/>
  <c r="AS7" i="21"/>
  <c r="AR7" i="21"/>
  <c r="AQ7" i="21"/>
  <c r="AP7" i="21"/>
  <c r="AS6" i="21"/>
  <c r="AR6" i="21"/>
  <c r="AQ6" i="21"/>
  <c r="AP6" i="21"/>
  <c r="AS5" i="21"/>
  <c r="AR5" i="21"/>
  <c r="AQ5" i="21"/>
  <c r="AP5" i="21"/>
  <c r="AS4" i="21"/>
  <c r="AR4" i="21"/>
  <c r="AQ4" i="21"/>
  <c r="AP4" i="21"/>
  <c r="AD2" i="21"/>
  <c r="AB2" i="21"/>
  <c r="AE3" i="21"/>
  <c r="BI3" i="21" s="1"/>
  <c r="AD3" i="21"/>
  <c r="BH3" i="21" s="1"/>
  <c r="AC3" i="21"/>
  <c r="BG3" i="21" s="1"/>
  <c r="AB3" i="21"/>
  <c r="Z2" i="21"/>
  <c r="X2" i="21"/>
  <c r="BB2" i="21" s="1"/>
  <c r="AA3" i="21"/>
  <c r="BE3" i="21" s="1"/>
  <c r="Z3" i="21"/>
  <c r="Y3" i="21"/>
  <c r="BC3" i="21" s="1"/>
  <c r="X3" i="21"/>
  <c r="BB3" i="21" s="1"/>
  <c r="V2" i="21"/>
  <c r="T2" i="21"/>
  <c r="W3" i="21"/>
  <c r="BA3" i="21" s="1"/>
  <c r="V3" i="21"/>
  <c r="AZ3" i="21" s="1"/>
  <c r="U3" i="21"/>
  <c r="AY3" i="21" s="1"/>
  <c r="T3" i="21"/>
  <c r="AX3" i="21" s="1"/>
  <c r="R2" i="21"/>
  <c r="P2" i="21"/>
  <c r="AV2" i="21" s="1"/>
  <c r="S3" i="21"/>
  <c r="AW3" i="21" s="1"/>
  <c r="R3" i="21"/>
  <c r="Q3" i="21"/>
  <c r="AU3" i="21" s="1"/>
  <c r="P3" i="21"/>
  <c r="AT3" i="21" s="1"/>
  <c r="N2" i="21"/>
  <c r="L2" i="21"/>
  <c r="AQ2" i="21" s="1"/>
  <c r="O3" i="21"/>
  <c r="AS3" i="21" s="1"/>
  <c r="N3" i="21"/>
  <c r="AR3" i="21" s="1"/>
  <c r="M3" i="21"/>
  <c r="AQ3" i="21" s="1"/>
  <c r="L3" i="21"/>
  <c r="AN104" i="21"/>
  <c r="AL104" i="21"/>
  <c r="AN103" i="21"/>
  <c r="AL103" i="21"/>
  <c r="AN102" i="21"/>
  <c r="AL102" i="21"/>
  <c r="AN101" i="21"/>
  <c r="AL101" i="21"/>
  <c r="AN100" i="21"/>
  <c r="AL100" i="21"/>
  <c r="AN99" i="21"/>
  <c r="AL99" i="21"/>
  <c r="AN98" i="21"/>
  <c r="AL98" i="21"/>
  <c r="AN97" i="21"/>
  <c r="AL97" i="21"/>
  <c r="AN96" i="21"/>
  <c r="AL96" i="21"/>
  <c r="AN95" i="21"/>
  <c r="AL95" i="21"/>
  <c r="AN94" i="21"/>
  <c r="AL94" i="21"/>
  <c r="AN93" i="21"/>
  <c r="AL93" i="21"/>
  <c r="AN92" i="21"/>
  <c r="AL92" i="21"/>
  <c r="AN91" i="21"/>
  <c r="AL91" i="21"/>
  <c r="AN85" i="21"/>
  <c r="AL85" i="21"/>
  <c r="AN84" i="21"/>
  <c r="AL84" i="21"/>
  <c r="AN83" i="21"/>
  <c r="AL83" i="21"/>
  <c r="AN82" i="21"/>
  <c r="AL82" i="21"/>
  <c r="AN81" i="21"/>
  <c r="AL81" i="21"/>
  <c r="AN80" i="21"/>
  <c r="AL80" i="21"/>
  <c r="AN79" i="21"/>
  <c r="AL79" i="21"/>
  <c r="AN78" i="21"/>
  <c r="AL78" i="21"/>
  <c r="AN77" i="21"/>
  <c r="AL77" i="21"/>
  <c r="AN76" i="21"/>
  <c r="AL76" i="21"/>
  <c r="AN75" i="21"/>
  <c r="AL75" i="21"/>
  <c r="AN74" i="21"/>
  <c r="AL74" i="21"/>
  <c r="AN73" i="21"/>
  <c r="AL73" i="21"/>
  <c r="AN72" i="21"/>
  <c r="AL72" i="21"/>
  <c r="AN71" i="21"/>
  <c r="AL71" i="21"/>
  <c r="AN70" i="21"/>
  <c r="AL70" i="21"/>
  <c r="AN69" i="21"/>
  <c r="AL69" i="21"/>
  <c r="AN68" i="21"/>
  <c r="AL68" i="21"/>
  <c r="AN67" i="21"/>
  <c r="AL67" i="21"/>
  <c r="AN66" i="21"/>
  <c r="AL66" i="21"/>
  <c r="AN65" i="21"/>
  <c r="AL65" i="21"/>
  <c r="AN64" i="21"/>
  <c r="AL64" i="21"/>
  <c r="AN63" i="21"/>
  <c r="AL63" i="21"/>
  <c r="AN62" i="21"/>
  <c r="AL62" i="21"/>
  <c r="AN61" i="21"/>
  <c r="AL61" i="21"/>
  <c r="AN60" i="21"/>
  <c r="AL60" i="21"/>
  <c r="AN59" i="21"/>
  <c r="AL59" i="21"/>
  <c r="AN58" i="21"/>
  <c r="AL58" i="21"/>
  <c r="AN57" i="21"/>
  <c r="AL57" i="21"/>
  <c r="AN56" i="21"/>
  <c r="AL56" i="21"/>
  <c r="AN55" i="21"/>
  <c r="AL55" i="21"/>
  <c r="AN54" i="21"/>
  <c r="AL54" i="21"/>
  <c r="AN53" i="21"/>
  <c r="AL53" i="21"/>
  <c r="AN52" i="21"/>
  <c r="AL52" i="21"/>
  <c r="AN51" i="21"/>
  <c r="AL51" i="21"/>
  <c r="AN50" i="21"/>
  <c r="AL50" i="21"/>
  <c r="AN49" i="21"/>
  <c r="AL49" i="21"/>
  <c r="AN48" i="21"/>
  <c r="AL48" i="21"/>
  <c r="AN47" i="21"/>
  <c r="AL47" i="21"/>
  <c r="AN46" i="21"/>
  <c r="AL46" i="21"/>
  <c r="AN45" i="21"/>
  <c r="AL45" i="21"/>
  <c r="AN44" i="21"/>
  <c r="AL44" i="21"/>
  <c r="AN43" i="21"/>
  <c r="AL43" i="21"/>
  <c r="AN42" i="21"/>
  <c r="AL42" i="21"/>
  <c r="AN41" i="21"/>
  <c r="AL41" i="21"/>
  <c r="AN40" i="21"/>
  <c r="AL40" i="21"/>
  <c r="AN39" i="21"/>
  <c r="AL39" i="21"/>
  <c r="AN38" i="21"/>
  <c r="AL38" i="21"/>
  <c r="AN37" i="21"/>
  <c r="AL37" i="21"/>
  <c r="AN36" i="21"/>
  <c r="AL36" i="21"/>
  <c r="AN35" i="21"/>
  <c r="AL35" i="21"/>
  <c r="AN34" i="21"/>
  <c r="AL34" i="21"/>
  <c r="AN33" i="21"/>
  <c r="AL33" i="21"/>
  <c r="AN32" i="21"/>
  <c r="AL32" i="21"/>
  <c r="AN31" i="21"/>
  <c r="AL31" i="21"/>
  <c r="AN30" i="21"/>
  <c r="AL30" i="21"/>
  <c r="AN29" i="21"/>
  <c r="AL29" i="21"/>
  <c r="AN28" i="21"/>
  <c r="AL28" i="21"/>
  <c r="AN27" i="21"/>
  <c r="AL27" i="21"/>
  <c r="AN26" i="21"/>
  <c r="AL26" i="21"/>
  <c r="AN25" i="21"/>
  <c r="AL25" i="21"/>
  <c r="AN24" i="21"/>
  <c r="AL24" i="21"/>
  <c r="AN23" i="21"/>
  <c r="AL23" i="21"/>
  <c r="AN22" i="21"/>
  <c r="AL22" i="21"/>
  <c r="AN21" i="21"/>
  <c r="AL21" i="21"/>
  <c r="AN20" i="21"/>
  <c r="AL20" i="21"/>
  <c r="AN19" i="21"/>
  <c r="AL19" i="21"/>
  <c r="AN18" i="21"/>
  <c r="AL18" i="21"/>
  <c r="AN17" i="21"/>
  <c r="AL17" i="21"/>
  <c r="AN16" i="21"/>
  <c r="AL16" i="21"/>
  <c r="AN15" i="21"/>
  <c r="AL15" i="21"/>
  <c r="AN14" i="21"/>
  <c r="AL14" i="21"/>
  <c r="AN13" i="21"/>
  <c r="AL13" i="21"/>
  <c r="AN12" i="21"/>
  <c r="AL12" i="21"/>
  <c r="AN11" i="21"/>
  <c r="AL11" i="21"/>
  <c r="AN10" i="21"/>
  <c r="AL10" i="21"/>
  <c r="AN9" i="21"/>
  <c r="AL9" i="21"/>
  <c r="AN8" i="21"/>
  <c r="AL8" i="21"/>
  <c r="AN7" i="21"/>
  <c r="AL7" i="21"/>
  <c r="AN6" i="21"/>
  <c r="AL6" i="21"/>
  <c r="AN5" i="21"/>
  <c r="AL5" i="21"/>
  <c r="AN4" i="21"/>
  <c r="AL4" i="21"/>
  <c r="K3" i="21"/>
  <c r="AO3" i="21" s="1"/>
  <c r="J3" i="21"/>
  <c r="AN3" i="21" s="1"/>
  <c r="I3" i="21"/>
  <c r="R2" i="19" s="1"/>
  <c r="H3" i="21"/>
  <c r="Q2" i="19" s="1"/>
  <c r="J2" i="21"/>
  <c r="F2" i="21"/>
  <c r="H2" i="21"/>
  <c r="AO2" i="21" s="1"/>
  <c r="D2" i="21"/>
  <c r="AI2" i="21" s="1"/>
  <c r="O1" i="19"/>
  <c r="G3" i="21"/>
  <c r="P2" i="19" s="1"/>
  <c r="F3" i="21"/>
  <c r="O2" i="19" s="1"/>
  <c r="E3" i="21"/>
  <c r="AI3" i="21" s="1"/>
  <c r="D3" i="21"/>
  <c r="M2" i="19" s="1"/>
  <c r="AK104" i="21"/>
  <c r="AK103" i="21"/>
  <c r="AK102" i="21"/>
  <c r="AK101" i="21"/>
  <c r="AK100" i="21"/>
  <c r="AK99" i="21"/>
  <c r="AK98" i="21"/>
  <c r="AK97" i="21"/>
  <c r="AK96" i="21"/>
  <c r="AK95" i="21"/>
  <c r="AK94" i="21"/>
  <c r="AK93" i="21"/>
  <c r="AK92" i="21"/>
  <c r="AK91" i="21"/>
  <c r="AK85" i="21"/>
  <c r="AK84" i="21"/>
  <c r="AK83" i="21"/>
  <c r="AK82" i="21"/>
  <c r="AK81" i="21"/>
  <c r="AK80" i="21"/>
  <c r="AK79" i="21"/>
  <c r="AK78" i="21"/>
  <c r="AK77" i="21"/>
  <c r="AK76" i="21"/>
  <c r="AK75" i="21"/>
  <c r="AK74" i="21"/>
  <c r="AK73" i="21"/>
  <c r="AK72" i="21"/>
  <c r="AK71" i="21"/>
  <c r="AK70" i="21"/>
  <c r="AK69" i="21"/>
  <c r="AK68" i="21"/>
  <c r="AK67" i="21"/>
  <c r="AK66" i="21"/>
  <c r="AK65" i="21"/>
  <c r="AK64" i="21"/>
  <c r="AK63" i="21"/>
  <c r="AK62" i="21"/>
  <c r="AK61" i="21"/>
  <c r="AK60" i="21"/>
  <c r="AK59" i="21"/>
  <c r="AK58" i="21"/>
  <c r="AK57" i="21"/>
  <c r="AK56" i="21"/>
  <c r="AK55" i="21"/>
  <c r="AK54" i="21"/>
  <c r="AK53" i="21"/>
  <c r="AK52" i="21"/>
  <c r="AK51" i="21"/>
  <c r="AK50" i="21"/>
  <c r="AK49" i="21"/>
  <c r="AK48" i="21"/>
  <c r="AK47" i="21"/>
  <c r="AK46" i="21"/>
  <c r="AK45" i="21"/>
  <c r="AK44" i="21"/>
  <c r="AK43" i="21"/>
  <c r="AK42" i="21"/>
  <c r="AK41" i="21"/>
  <c r="AK40" i="21"/>
  <c r="AK39" i="21"/>
  <c r="AK38" i="21"/>
  <c r="AK37" i="21"/>
  <c r="AK36" i="21"/>
  <c r="AK35" i="21"/>
  <c r="AK34" i="21"/>
  <c r="AK33" i="21"/>
  <c r="AK32" i="21"/>
  <c r="AK31" i="21"/>
  <c r="AK30" i="21"/>
  <c r="AK29" i="21"/>
  <c r="AK28" i="21"/>
  <c r="AK27" i="21"/>
  <c r="AK26" i="21"/>
  <c r="AK25" i="21"/>
  <c r="AK24" i="21"/>
  <c r="AK23" i="21"/>
  <c r="AK22" i="21"/>
  <c r="AK21" i="21"/>
  <c r="AK20" i="21"/>
  <c r="AK19" i="21"/>
  <c r="AK18" i="21"/>
  <c r="AK17" i="21"/>
  <c r="AK16" i="21"/>
  <c r="AK15" i="21"/>
  <c r="AK14" i="21"/>
  <c r="AK13" i="21"/>
  <c r="AK12" i="21"/>
  <c r="AK11" i="21"/>
  <c r="AK10" i="21"/>
  <c r="AK9" i="21"/>
  <c r="AK8" i="21"/>
  <c r="AK7" i="21"/>
  <c r="AK6" i="21"/>
  <c r="AK5" i="21"/>
  <c r="AK4" i="21"/>
  <c r="AM2" i="19" l="1"/>
  <c r="W2" i="19"/>
  <c r="AH2" i="19"/>
  <c r="AP3" i="21"/>
  <c r="U2" i="19"/>
  <c r="AV3" i="21"/>
  <c r="AA2" i="19"/>
  <c r="AK2" i="19"/>
  <c r="BF3" i="21"/>
  <c r="BD3" i="21"/>
  <c r="AI2" i="19"/>
  <c r="AC2" i="19"/>
  <c r="S2" i="19"/>
  <c r="Y2" i="19"/>
  <c r="AD2" i="19"/>
  <c r="Z2" i="19"/>
  <c r="AE2" i="19"/>
  <c r="V2" i="19"/>
  <c r="AG2" i="19"/>
  <c r="AL2" i="19"/>
  <c r="T2" i="19"/>
  <c r="X2" i="19"/>
  <c r="AB2" i="19"/>
  <c r="AF2" i="19"/>
  <c r="AJ2" i="19"/>
  <c r="AN2" i="19"/>
  <c r="BI2" i="21"/>
  <c r="BH2" i="21"/>
  <c r="BG2" i="21"/>
  <c r="BF2" i="21"/>
  <c r="BE2" i="21"/>
  <c r="BD2" i="21"/>
  <c r="BC2" i="21"/>
  <c r="AX2" i="21"/>
  <c r="AR2" i="21"/>
  <c r="BA2" i="21"/>
  <c r="AZ2" i="21"/>
  <c r="AY2" i="21"/>
  <c r="AP2" i="21"/>
  <c r="AT2" i="21"/>
  <c r="AS2" i="21"/>
  <c r="AW2" i="21"/>
  <c r="AU2" i="21"/>
  <c r="AK3" i="21"/>
  <c r="N2" i="19"/>
  <c r="AL3" i="21"/>
  <c r="AM3" i="21"/>
  <c r="AL2" i="21"/>
  <c r="AH3" i="21"/>
  <c r="AK2" i="21"/>
  <c r="AM2" i="21"/>
  <c r="AJ3" i="21"/>
  <c r="AJ2" i="21"/>
  <c r="AN2" i="21"/>
  <c r="AO104" i="21" l="1"/>
  <c r="AO103" i="21"/>
  <c r="AO102" i="21"/>
  <c r="AO101" i="21"/>
  <c r="AO100" i="21"/>
  <c r="AO99" i="21"/>
  <c r="AO98" i="21"/>
  <c r="AO97" i="21"/>
  <c r="AO96" i="21"/>
  <c r="AO95" i="21"/>
  <c r="AO94" i="21"/>
  <c r="AO93" i="21"/>
  <c r="AO92" i="21"/>
  <c r="AO91" i="21"/>
  <c r="AO85" i="21"/>
  <c r="AO84" i="21"/>
  <c r="AO83" i="21"/>
  <c r="AO82" i="21"/>
  <c r="AO81" i="21"/>
  <c r="AO80" i="21"/>
  <c r="AO79" i="21"/>
  <c r="AO78" i="21"/>
  <c r="AO77" i="21"/>
  <c r="AO76" i="21"/>
  <c r="AO75" i="21"/>
  <c r="AO74" i="21"/>
  <c r="AO73" i="21"/>
  <c r="AO72" i="21"/>
  <c r="AO71" i="21"/>
  <c r="AO70" i="21"/>
  <c r="AO69" i="21"/>
  <c r="AO68" i="21"/>
  <c r="AO67" i="21"/>
  <c r="AO66" i="21"/>
  <c r="AO65" i="21"/>
  <c r="AO64" i="21"/>
  <c r="AO63" i="21"/>
  <c r="AO62" i="21"/>
  <c r="AO61" i="21"/>
  <c r="AO60" i="21"/>
  <c r="AO59" i="21"/>
  <c r="AO58" i="21"/>
  <c r="AO57" i="21"/>
  <c r="AO56" i="21"/>
  <c r="AO55" i="21"/>
  <c r="AO54" i="21"/>
  <c r="AO53" i="21"/>
  <c r="AO52" i="21"/>
  <c r="AO51" i="21"/>
  <c r="AO50" i="21"/>
  <c r="AO49" i="21"/>
  <c r="AO48" i="21"/>
  <c r="AO47" i="21"/>
  <c r="AO46" i="21"/>
  <c r="AO45" i="21"/>
  <c r="AO44" i="21"/>
  <c r="AO43" i="21"/>
  <c r="AO42" i="21"/>
  <c r="AO41" i="21"/>
  <c r="AO40" i="21"/>
  <c r="AO39" i="21"/>
  <c r="AO38" i="21"/>
  <c r="AO37" i="21"/>
  <c r="AO36" i="21"/>
  <c r="AO35" i="21"/>
  <c r="AO34" i="21"/>
  <c r="AO33" i="21"/>
  <c r="AO32" i="21"/>
  <c r="AO31" i="21"/>
  <c r="AO30" i="21"/>
  <c r="AO29" i="21"/>
  <c r="AO28" i="21"/>
  <c r="AO27" i="21"/>
  <c r="AO26" i="21"/>
  <c r="AO25" i="21"/>
  <c r="AO24" i="21"/>
  <c r="AO23" i="21"/>
  <c r="AO22" i="21"/>
  <c r="AO21" i="21"/>
  <c r="AO20" i="21"/>
  <c r="AO19" i="21"/>
  <c r="AO18" i="21"/>
  <c r="AO17" i="21"/>
  <c r="AO16" i="21"/>
  <c r="AO15" i="21"/>
  <c r="AO14" i="21"/>
  <c r="AO13" i="21"/>
  <c r="AO12" i="21"/>
  <c r="AO11" i="21"/>
  <c r="AO10" i="21"/>
  <c r="AO9" i="21"/>
  <c r="AO8" i="21"/>
  <c r="AO7" i="21"/>
  <c r="AO6" i="21"/>
  <c r="AO5" i="21"/>
  <c r="AO4" i="21"/>
  <c r="AI104" i="21"/>
  <c r="AI103" i="21"/>
  <c r="AI102" i="21"/>
  <c r="AI101" i="21"/>
  <c r="AI100" i="21"/>
  <c r="AI99" i="21"/>
  <c r="AI98" i="21"/>
  <c r="AI97" i="21"/>
  <c r="AI96" i="21"/>
  <c r="AI95" i="21"/>
  <c r="AI94" i="21"/>
  <c r="AI93" i="21"/>
  <c r="AI92" i="21"/>
  <c r="AI91" i="21"/>
  <c r="AI85" i="21"/>
  <c r="AI84" i="21"/>
  <c r="AI83" i="21"/>
  <c r="AI82" i="21"/>
  <c r="AI81" i="21"/>
  <c r="AI80" i="21"/>
  <c r="AI79" i="21"/>
  <c r="AI78" i="21"/>
  <c r="AI77" i="21"/>
  <c r="AI76" i="21"/>
  <c r="AI75" i="21"/>
  <c r="AI74" i="21"/>
  <c r="AI73" i="21"/>
  <c r="AI72" i="21"/>
  <c r="AI71" i="21"/>
  <c r="AI70" i="21"/>
  <c r="AI69" i="21"/>
  <c r="AI68" i="21"/>
  <c r="AI67" i="21"/>
  <c r="AI66" i="21"/>
  <c r="AI65" i="21"/>
  <c r="AI64" i="21"/>
  <c r="AI63" i="21"/>
  <c r="AI62" i="21"/>
  <c r="AI61" i="21"/>
  <c r="AI60" i="21"/>
  <c r="AI59" i="21"/>
  <c r="AI58" i="21"/>
  <c r="AI57" i="21"/>
  <c r="AI56" i="21"/>
  <c r="AI55" i="21"/>
  <c r="AI54" i="21"/>
  <c r="AI53" i="21"/>
  <c r="AI52" i="21"/>
  <c r="AI51" i="21"/>
  <c r="AI50" i="21"/>
  <c r="AI49" i="21"/>
  <c r="AI48" i="21"/>
  <c r="AI47" i="21"/>
  <c r="AI46" i="21"/>
  <c r="AI45" i="21"/>
  <c r="AI44" i="21"/>
  <c r="AI43" i="21"/>
  <c r="AI42" i="21"/>
  <c r="AI41" i="21"/>
  <c r="AI40" i="21"/>
  <c r="AI39" i="21"/>
  <c r="AI38" i="21"/>
  <c r="AI37" i="21"/>
  <c r="AI36" i="21"/>
  <c r="AI35" i="21"/>
  <c r="AI34" i="21"/>
  <c r="AI33" i="21"/>
  <c r="AI32" i="21"/>
  <c r="AI31" i="21"/>
  <c r="AI30" i="21"/>
  <c r="AI29" i="21"/>
  <c r="AI28" i="21"/>
  <c r="AI27" i="21"/>
  <c r="AI26" i="21"/>
  <c r="AI25" i="21"/>
  <c r="AI24" i="21"/>
  <c r="AI23" i="21"/>
  <c r="AI22" i="21"/>
  <c r="AI21" i="21"/>
  <c r="AI20" i="21"/>
  <c r="AI19" i="21"/>
  <c r="AI18" i="21"/>
  <c r="AI17" i="21"/>
  <c r="AI16" i="21"/>
  <c r="AI15" i="21"/>
  <c r="AI14" i="21"/>
  <c r="AI13" i="21"/>
  <c r="AI12" i="21"/>
  <c r="AI11" i="21"/>
  <c r="AI10" i="21"/>
  <c r="AI9" i="21"/>
  <c r="AI8" i="21"/>
  <c r="AI7" i="21"/>
  <c r="AI6" i="21"/>
  <c r="AI5" i="21"/>
  <c r="AI4" i="21"/>
  <c r="A51" i="20" l="1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C72" i="20"/>
  <c r="B72" i="20"/>
  <c r="C71" i="20"/>
  <c r="B71" i="20"/>
  <c r="C70" i="20"/>
  <c r="B70" i="20"/>
  <c r="C69" i="20"/>
  <c r="B69" i="20"/>
  <c r="C68" i="20"/>
  <c r="B68" i="20"/>
  <c r="C67" i="20"/>
  <c r="B67" i="20"/>
  <c r="C66" i="20"/>
  <c r="B66" i="20"/>
  <c r="C65" i="20"/>
  <c r="B65" i="20"/>
  <c r="C64" i="20"/>
  <c r="B64" i="20"/>
  <c r="C63" i="20"/>
  <c r="B63" i="20"/>
  <c r="C62" i="20"/>
  <c r="B62" i="20"/>
  <c r="C61" i="20"/>
  <c r="B61" i="20"/>
  <c r="C60" i="20"/>
  <c r="B60" i="20"/>
  <c r="C59" i="20"/>
  <c r="B59" i="20"/>
  <c r="C58" i="20"/>
  <c r="B58" i="20"/>
  <c r="C57" i="20"/>
  <c r="B57" i="20"/>
  <c r="C56" i="20"/>
  <c r="B56" i="20"/>
  <c r="C55" i="20"/>
  <c r="B55" i="20"/>
  <c r="C54" i="20"/>
  <c r="B54" i="20"/>
  <c r="C53" i="20"/>
  <c r="B53" i="20"/>
  <c r="C52" i="20"/>
  <c r="B52" i="20"/>
  <c r="AM63" i="21"/>
  <c r="AJ63" i="21"/>
  <c r="AH63" i="21"/>
  <c r="AM62" i="21"/>
  <c r="AJ62" i="21"/>
  <c r="AH62" i="21"/>
  <c r="AM61" i="21"/>
  <c r="AJ61" i="21"/>
  <c r="AH61" i="21"/>
  <c r="AM60" i="21"/>
  <c r="AJ60" i="21"/>
  <c r="AH60" i="21"/>
  <c r="AM59" i="21"/>
  <c r="AJ59" i="21"/>
  <c r="AH59" i="21"/>
  <c r="AM58" i="21"/>
  <c r="AJ58" i="21"/>
  <c r="AH58" i="21"/>
  <c r="AM57" i="21"/>
  <c r="AJ57" i="21"/>
  <c r="AH57" i="21"/>
  <c r="AM56" i="21"/>
  <c r="AJ56" i="21"/>
  <c r="AH56" i="21"/>
  <c r="AM55" i="21"/>
  <c r="AJ55" i="21"/>
  <c r="AH55" i="21"/>
  <c r="AM54" i="21"/>
  <c r="AJ54" i="21"/>
  <c r="AH54" i="21"/>
  <c r="AM53" i="21"/>
  <c r="AJ53" i="21"/>
  <c r="AH53" i="21"/>
  <c r="AM52" i="21"/>
  <c r="AJ52" i="21"/>
  <c r="AH52" i="21"/>
  <c r="AM51" i="21"/>
  <c r="AJ51" i="21"/>
  <c r="AH51" i="21"/>
  <c r="AM50" i="21"/>
  <c r="AJ50" i="21"/>
  <c r="AH50" i="21"/>
  <c r="AM49" i="21"/>
  <c r="AJ49" i="21"/>
  <c r="AH49" i="21"/>
  <c r="AM48" i="21"/>
  <c r="AJ48" i="21"/>
  <c r="AH48" i="21"/>
  <c r="AM47" i="21"/>
  <c r="AJ47" i="21"/>
  <c r="AH47" i="21"/>
  <c r="AM46" i="21"/>
  <c r="AJ46" i="21"/>
  <c r="AH46" i="21"/>
  <c r="AM45" i="21"/>
  <c r="AJ45" i="21"/>
  <c r="AH45" i="21"/>
  <c r="AM44" i="21"/>
  <c r="AJ44" i="21"/>
  <c r="AH44" i="21"/>
  <c r="AM43" i="21"/>
  <c r="AJ43" i="21"/>
  <c r="AH43" i="21"/>
  <c r="C86" i="20" l="1"/>
  <c r="C87" i="20"/>
  <c r="C88" i="20"/>
  <c r="C89" i="20"/>
  <c r="C90" i="20"/>
  <c r="C91" i="20"/>
  <c r="C92" i="20"/>
  <c r="C93" i="20"/>
  <c r="C94" i="20"/>
  <c r="C95" i="20"/>
  <c r="C96" i="20"/>
  <c r="C97" i="20"/>
  <c r="C98" i="20"/>
  <c r="C104" i="20"/>
  <c r="C105" i="20"/>
  <c r="C106" i="20"/>
  <c r="C107" i="20"/>
  <c r="C108" i="20"/>
  <c r="C109" i="20"/>
  <c r="C110" i="20"/>
  <c r="C111" i="20"/>
  <c r="C112" i="20"/>
  <c r="C113" i="20"/>
  <c r="C114" i="20"/>
  <c r="C85" i="20"/>
  <c r="B106" i="20"/>
  <c r="B107" i="20"/>
  <c r="B108" i="20"/>
  <c r="B109" i="20"/>
  <c r="B110" i="20"/>
  <c r="B111" i="20"/>
  <c r="B112" i="20"/>
  <c r="B113" i="20"/>
  <c r="B114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104" i="20"/>
  <c r="B85" i="20"/>
  <c r="B105" i="20"/>
  <c r="A105" i="20"/>
  <c r="A106" i="20"/>
  <c r="A107" i="20"/>
  <c r="A108" i="20"/>
  <c r="A109" i="20"/>
  <c r="A110" i="20"/>
  <c r="A111" i="20"/>
  <c r="A112" i="20"/>
  <c r="A113" i="20"/>
  <c r="A114" i="20"/>
  <c r="C43" i="20"/>
  <c r="C44" i="20"/>
  <c r="C45" i="20"/>
  <c r="C46" i="20"/>
  <c r="C47" i="20"/>
  <c r="C48" i="20"/>
  <c r="C49" i="20"/>
  <c r="C50" i="20"/>
  <c r="C51" i="20"/>
  <c r="C73" i="20"/>
  <c r="C74" i="20"/>
  <c r="C75" i="20"/>
  <c r="C76" i="20"/>
  <c r="C77" i="20"/>
  <c r="C78" i="20"/>
  <c r="C79" i="20"/>
  <c r="C80" i="20"/>
  <c r="C81" i="20"/>
  <c r="C82" i="20"/>
  <c r="C42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AM102" i="21"/>
  <c r="AJ102" i="21"/>
  <c r="AH102" i="21"/>
  <c r="AM101" i="21"/>
  <c r="AJ101" i="21"/>
  <c r="AH101" i="21"/>
  <c r="AM100" i="21"/>
  <c r="AJ100" i="21"/>
  <c r="AH100" i="21"/>
  <c r="AM99" i="21"/>
  <c r="AJ99" i="21"/>
  <c r="AH99" i="21"/>
  <c r="AM98" i="21"/>
  <c r="AJ98" i="21"/>
  <c r="AH98" i="21"/>
  <c r="AM97" i="21"/>
  <c r="AJ97" i="21"/>
  <c r="AH97" i="21"/>
  <c r="AM91" i="21"/>
  <c r="AJ91" i="21"/>
  <c r="AH91" i="21"/>
  <c r="AM85" i="21"/>
  <c r="AJ85" i="21"/>
  <c r="AH85" i="21"/>
  <c r="AM84" i="21"/>
  <c r="AJ84" i="21"/>
  <c r="AH84" i="21"/>
  <c r="B73" i="20"/>
  <c r="B74" i="20"/>
  <c r="B75" i="20"/>
  <c r="B76" i="20"/>
  <c r="B77" i="20"/>
  <c r="B78" i="20"/>
  <c r="B79" i="20"/>
  <c r="B80" i="20"/>
  <c r="B81" i="20"/>
  <c r="B82" i="20"/>
  <c r="B43" i="20"/>
  <c r="B44" i="20"/>
  <c r="B45" i="20"/>
  <c r="B46" i="20"/>
  <c r="B47" i="20"/>
  <c r="B48" i="20"/>
  <c r="B49" i="20"/>
  <c r="B50" i="20"/>
  <c r="B51" i="20"/>
  <c r="B42" i="20"/>
  <c r="A74" i="20"/>
  <c r="A75" i="20"/>
  <c r="A76" i="20"/>
  <c r="A77" i="20"/>
  <c r="A78" i="20"/>
  <c r="A79" i="20"/>
  <c r="A80" i="20"/>
  <c r="A81" i="20"/>
  <c r="A82" i="20"/>
  <c r="A43" i="20"/>
  <c r="A44" i="20"/>
  <c r="A45" i="20"/>
  <c r="A46" i="20"/>
  <c r="A47" i="20"/>
  <c r="A48" i="20"/>
  <c r="A49" i="20"/>
  <c r="A50" i="20"/>
  <c r="A73" i="20"/>
  <c r="AM72" i="21"/>
  <c r="AJ72" i="21"/>
  <c r="AH72" i="21"/>
  <c r="AM71" i="21"/>
  <c r="AJ71" i="21"/>
  <c r="AH71" i="21"/>
  <c r="AM70" i="21"/>
  <c r="AJ70" i="21"/>
  <c r="AH70" i="21"/>
  <c r="AM69" i="21"/>
  <c r="AJ69" i="21"/>
  <c r="AH69" i="21"/>
  <c r="AM68" i="21"/>
  <c r="AJ68" i="21"/>
  <c r="AH68" i="21"/>
  <c r="AM67" i="21"/>
  <c r="AJ67" i="21"/>
  <c r="AH67" i="21"/>
  <c r="B31" i="20" l="1"/>
  <c r="B32" i="20"/>
  <c r="B33" i="20"/>
  <c r="B34" i="20"/>
  <c r="B35" i="20"/>
  <c r="B36" i="20"/>
  <c r="B37" i="20"/>
  <c r="B38" i="20"/>
  <c r="B39" i="20"/>
  <c r="A37" i="20"/>
  <c r="A36" i="20"/>
  <c r="A35" i="20"/>
  <c r="A34" i="20"/>
  <c r="A33" i="20"/>
  <c r="A32" i="20"/>
  <c r="B30" i="20"/>
  <c r="AM31" i="21"/>
  <c r="AJ31" i="21"/>
  <c r="AH31" i="21"/>
  <c r="AM30" i="21"/>
  <c r="AJ30" i="21"/>
  <c r="AH30" i="21"/>
  <c r="AM29" i="21"/>
  <c r="AJ29" i="21"/>
  <c r="AH29" i="21"/>
  <c r="AM28" i="21"/>
  <c r="AJ28" i="21"/>
  <c r="AH28" i="21"/>
  <c r="AM27" i="21"/>
  <c r="AJ27" i="21"/>
  <c r="AH27" i="21"/>
  <c r="AM26" i="21"/>
  <c r="AJ26" i="21"/>
  <c r="AH26" i="21"/>
  <c r="B21" i="20"/>
  <c r="B22" i="20"/>
  <c r="B23" i="20"/>
  <c r="B24" i="20"/>
  <c r="B25" i="20"/>
  <c r="B26" i="20"/>
  <c r="B27" i="20"/>
  <c r="B28" i="20"/>
  <c r="B29" i="20"/>
  <c r="A22" i="20"/>
  <c r="A23" i="20"/>
  <c r="A24" i="20"/>
  <c r="A25" i="20"/>
  <c r="A26" i="20"/>
  <c r="A27" i="20"/>
  <c r="A28" i="20"/>
  <c r="A29" i="20"/>
  <c r="B20" i="20"/>
  <c r="B19" i="20"/>
  <c r="B11" i="20"/>
  <c r="B12" i="20"/>
  <c r="B13" i="20"/>
  <c r="B14" i="20"/>
  <c r="B15" i="20"/>
  <c r="B16" i="20"/>
  <c r="B17" i="20"/>
  <c r="B18" i="20"/>
  <c r="B10" i="20"/>
  <c r="A12" i="20"/>
  <c r="AM11" i="21"/>
  <c r="AJ11" i="21"/>
  <c r="AH11" i="21"/>
  <c r="AM21" i="21"/>
  <c r="AJ21" i="21"/>
  <c r="AH21" i="21"/>
  <c r="AM20" i="21"/>
  <c r="AJ20" i="21"/>
  <c r="AH20" i="21"/>
  <c r="AM19" i="21"/>
  <c r="AJ19" i="21"/>
  <c r="AH19" i="21"/>
  <c r="AM18" i="21"/>
  <c r="AJ18" i="21"/>
  <c r="AH18" i="21"/>
  <c r="A13" i="20"/>
  <c r="AM6" i="21"/>
  <c r="AJ6" i="21"/>
  <c r="AH6" i="21"/>
  <c r="F8" i="22" l="1"/>
  <c r="F7" i="22"/>
  <c r="F6" i="22"/>
  <c r="F3" i="22"/>
  <c r="E9" i="22"/>
  <c r="AM17" i="21"/>
  <c r="AJ17" i="21"/>
  <c r="AH17" i="21"/>
  <c r="AM22" i="21"/>
  <c r="AJ22" i="21"/>
  <c r="AH22" i="21"/>
  <c r="A85" i="20" l="1"/>
  <c r="AM96" i="21"/>
  <c r="AJ96" i="21"/>
  <c r="AH96" i="21"/>
  <c r="A42" i="20"/>
  <c r="A10" i="20"/>
  <c r="A11" i="20"/>
  <c r="A14" i="20"/>
  <c r="A15" i="20"/>
  <c r="A16" i="20"/>
  <c r="A17" i="20"/>
  <c r="A18" i="20"/>
  <c r="A19" i="20"/>
  <c r="A20" i="20"/>
  <c r="A21" i="20"/>
  <c r="A30" i="20"/>
  <c r="A31" i="20"/>
  <c r="A38" i="20"/>
  <c r="A39" i="20"/>
  <c r="AM104" i="21" l="1"/>
  <c r="AM103" i="21"/>
  <c r="AM95" i="21"/>
  <c r="AM94" i="21"/>
  <c r="AM93" i="21"/>
  <c r="AM92" i="21"/>
  <c r="AM83" i="21"/>
  <c r="AM82" i="21"/>
  <c r="AM81" i="21"/>
  <c r="AM80" i="21"/>
  <c r="AM79" i="21"/>
  <c r="AM78" i="21"/>
  <c r="AM77" i="21"/>
  <c r="AM76" i="21"/>
  <c r="AM75" i="21"/>
  <c r="AM74" i="21"/>
  <c r="AM73" i="21"/>
  <c r="AM66" i="21"/>
  <c r="AM65" i="21"/>
  <c r="AM64" i="21"/>
  <c r="AM42" i="21"/>
  <c r="AM41" i="21"/>
  <c r="AM40" i="21"/>
  <c r="AM39" i="21"/>
  <c r="AM38" i="21"/>
  <c r="AM37" i="21"/>
  <c r="AM36" i="21"/>
  <c r="AM35" i="21"/>
  <c r="AM34" i="21"/>
  <c r="AM33" i="21"/>
  <c r="AM32" i="21"/>
  <c r="AM25" i="21"/>
  <c r="AM24" i="21"/>
  <c r="AM23" i="21"/>
  <c r="AM16" i="21"/>
  <c r="AM15" i="21"/>
  <c r="AM14" i="21"/>
  <c r="AM13" i="21"/>
  <c r="AM12" i="21"/>
  <c r="AM10" i="21"/>
  <c r="AM9" i="21"/>
  <c r="AM8" i="21"/>
  <c r="AM7" i="21"/>
  <c r="AM5" i="21"/>
  <c r="AM4" i="21"/>
  <c r="AJ104" i="21"/>
  <c r="AJ103" i="21"/>
  <c r="AJ95" i="21"/>
  <c r="AJ94" i="21"/>
  <c r="AJ93" i="21"/>
  <c r="AJ92" i="21"/>
  <c r="AJ83" i="21"/>
  <c r="AJ82" i="21"/>
  <c r="AJ81" i="21"/>
  <c r="AJ80" i="21"/>
  <c r="AJ79" i="21"/>
  <c r="AJ78" i="21"/>
  <c r="AJ77" i="21"/>
  <c r="AJ76" i="21"/>
  <c r="AJ75" i="21"/>
  <c r="AJ74" i="21"/>
  <c r="AJ73" i="21"/>
  <c r="AJ66" i="21"/>
  <c r="AJ65" i="21"/>
  <c r="AJ64" i="21"/>
  <c r="AJ42" i="21"/>
  <c r="AJ41" i="21"/>
  <c r="AJ40" i="21"/>
  <c r="AJ39" i="21"/>
  <c r="AJ38" i="21"/>
  <c r="AJ37" i="21"/>
  <c r="AJ36" i="21"/>
  <c r="AJ35" i="21"/>
  <c r="AJ34" i="21"/>
  <c r="AJ33" i="21"/>
  <c r="AJ32" i="21"/>
  <c r="AJ25" i="21"/>
  <c r="AJ24" i="21"/>
  <c r="AJ23" i="21"/>
  <c r="AJ16" i="21"/>
  <c r="AJ15" i="21"/>
  <c r="AJ14" i="21"/>
  <c r="AJ13" i="21"/>
  <c r="AJ12" i="21"/>
  <c r="AJ10" i="21"/>
  <c r="AJ9" i="21"/>
  <c r="AJ8" i="21"/>
  <c r="AJ7" i="21"/>
  <c r="AJ5" i="21"/>
  <c r="AJ4" i="21"/>
  <c r="AH104" i="21"/>
  <c r="AH103" i="21"/>
  <c r="AH95" i="21"/>
  <c r="AH94" i="21"/>
  <c r="AH93" i="21"/>
  <c r="AH92" i="21"/>
  <c r="AH83" i="21"/>
  <c r="AH82" i="21"/>
  <c r="AH81" i="21"/>
  <c r="AH80" i="21"/>
  <c r="AH79" i="21"/>
  <c r="AH78" i="21"/>
  <c r="AH77" i="21"/>
  <c r="AH76" i="21"/>
  <c r="AH75" i="21"/>
  <c r="AH74" i="21"/>
  <c r="AH73" i="21"/>
  <c r="AH66" i="21"/>
  <c r="AH65" i="21"/>
  <c r="AH64" i="21"/>
  <c r="AH42" i="21"/>
  <c r="AH41" i="21"/>
  <c r="AH40" i="21"/>
  <c r="AH39" i="21"/>
  <c r="AH38" i="21"/>
  <c r="AH37" i="21"/>
  <c r="AH36" i="21"/>
  <c r="AH35" i="21"/>
  <c r="AH34" i="21"/>
  <c r="AH33" i="21"/>
  <c r="AH32" i="21"/>
  <c r="AH25" i="21"/>
  <c r="AH24" i="21"/>
  <c r="AH23" i="21"/>
  <c r="AH16" i="21"/>
  <c r="AH15" i="21"/>
  <c r="AH14" i="21"/>
  <c r="AH13" i="21"/>
  <c r="AH12" i="21"/>
  <c r="AH10" i="21"/>
  <c r="AH9" i="21"/>
  <c r="AH8" i="21"/>
  <c r="AH7" i="21"/>
  <c r="AH5" i="21"/>
  <c r="AH4" i="21"/>
  <c r="K2" i="19"/>
  <c r="J2" i="19"/>
  <c r="I2" i="19"/>
  <c r="H2" i="19"/>
  <c r="G2" i="19"/>
  <c r="F2" i="19"/>
  <c r="L2" i="13"/>
  <c r="L3" i="13"/>
  <c r="L4" i="13"/>
  <c r="L5" i="13"/>
  <c r="L6" i="13"/>
  <c r="L7" i="13"/>
  <c r="F2" i="22" l="1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F1" i="19"/>
  <c r="C6" i="22" l="1"/>
  <c r="M1" i="19" l="1"/>
  <c r="Q1" i="19" s="1"/>
  <c r="U1" i="19" l="1"/>
  <c r="S1" i="19"/>
  <c r="AH2" i="21"/>
  <c r="E45" i="13"/>
  <c r="E44" i="13"/>
  <c r="E43" i="13"/>
  <c r="E42" i="13"/>
  <c r="E41" i="13"/>
  <c r="E40" i="13"/>
  <c r="E39" i="13"/>
  <c r="E30" i="13"/>
  <c r="E2" i="13"/>
  <c r="E26" i="13"/>
  <c r="E18" i="13"/>
  <c r="E17" i="13"/>
  <c r="E3" i="13"/>
  <c r="E32" i="13"/>
  <c r="E23" i="13"/>
  <c r="E8" i="13"/>
  <c r="E4" i="13"/>
  <c r="E16" i="13"/>
  <c r="E13" i="13"/>
  <c r="E15" i="13"/>
  <c r="E5" i="13"/>
  <c r="E33" i="13"/>
  <c r="E46" i="13"/>
  <c r="E11" i="13"/>
  <c r="E14" i="13"/>
  <c r="E24" i="13"/>
  <c r="E19" i="13"/>
  <c r="E37" i="13"/>
  <c r="E27" i="13"/>
  <c r="E29" i="13"/>
  <c r="E36" i="13"/>
  <c r="E6" i="13"/>
  <c r="E28" i="13"/>
  <c r="E12" i="13"/>
  <c r="E22" i="13"/>
  <c r="E21" i="13"/>
  <c r="E20" i="13"/>
  <c r="E31" i="13"/>
  <c r="E10" i="13"/>
  <c r="E35" i="13"/>
  <c r="E9" i="13"/>
  <c r="E38" i="13"/>
  <c r="E25" i="13"/>
  <c r="E7" i="13"/>
  <c r="E34" i="13"/>
  <c r="E3" i="19" l="1"/>
  <c r="K3" i="19" s="1"/>
  <c r="E43" i="19"/>
  <c r="I43" i="19" s="1"/>
  <c r="E45" i="19"/>
  <c r="J45" i="19" s="1"/>
  <c r="W1" i="19"/>
  <c r="Y1" i="19"/>
  <c r="E47" i="19"/>
  <c r="J47" i="19" s="1"/>
  <c r="E44" i="19"/>
  <c r="I44" i="19" s="1"/>
  <c r="E42" i="19"/>
  <c r="G42" i="19" s="1"/>
  <c r="E46" i="19"/>
  <c r="I46" i="19" s="1"/>
  <c r="G3" i="19"/>
  <c r="E4" i="19"/>
  <c r="E5" i="19"/>
  <c r="E9" i="19"/>
  <c r="E13" i="19"/>
  <c r="E17" i="19"/>
  <c r="E8" i="19"/>
  <c r="E12" i="19"/>
  <c r="E16" i="19"/>
  <c r="E20" i="19"/>
  <c r="E24" i="19"/>
  <c r="E28" i="19"/>
  <c r="E32" i="19"/>
  <c r="E36" i="19"/>
  <c r="E21" i="19"/>
  <c r="E25" i="19"/>
  <c r="E29" i="19"/>
  <c r="E33" i="19"/>
  <c r="E37" i="19"/>
  <c r="E40" i="19"/>
  <c r="E6" i="19"/>
  <c r="E10" i="19"/>
  <c r="E14" i="19"/>
  <c r="E18" i="19"/>
  <c r="E22" i="19"/>
  <c r="E26" i="19"/>
  <c r="E30" i="19"/>
  <c r="E34" i="19"/>
  <c r="E38" i="19"/>
  <c r="E7" i="19"/>
  <c r="E11" i="19"/>
  <c r="E15" i="19"/>
  <c r="E19" i="19"/>
  <c r="E23" i="19"/>
  <c r="E27" i="19"/>
  <c r="E31" i="19"/>
  <c r="E35" i="19"/>
  <c r="E39" i="19"/>
  <c r="E41" i="19"/>
  <c r="K41" i="19" s="1"/>
  <c r="K43" i="19" l="1"/>
  <c r="H43" i="19"/>
  <c r="G43" i="19"/>
  <c r="J3" i="19"/>
  <c r="K45" i="19"/>
  <c r="I3" i="19"/>
  <c r="H3" i="19"/>
  <c r="J43" i="19"/>
  <c r="I45" i="19"/>
  <c r="H45" i="19"/>
  <c r="G45" i="19"/>
  <c r="AA1" i="19"/>
  <c r="AC1" i="19"/>
  <c r="K47" i="19"/>
  <c r="I47" i="19"/>
  <c r="K42" i="19"/>
  <c r="H42" i="19"/>
  <c r="I42" i="19"/>
  <c r="J42" i="19"/>
  <c r="K46" i="19"/>
  <c r="G44" i="19"/>
  <c r="H44" i="19"/>
  <c r="G47" i="19"/>
  <c r="H47" i="19"/>
  <c r="J44" i="19"/>
  <c r="H46" i="19"/>
  <c r="G46" i="19"/>
  <c r="K44" i="19"/>
  <c r="J46" i="19"/>
  <c r="I41" i="19"/>
  <c r="H41" i="19"/>
  <c r="J41" i="19"/>
  <c r="G41" i="19"/>
  <c r="I31" i="19"/>
  <c r="H31" i="19"/>
  <c r="J31" i="19"/>
  <c r="G31" i="19"/>
  <c r="K31" i="19"/>
  <c r="I15" i="19"/>
  <c r="J15" i="19"/>
  <c r="G15" i="19"/>
  <c r="K15" i="19"/>
  <c r="H15" i="19"/>
  <c r="J18" i="19"/>
  <c r="K18" i="19"/>
  <c r="G18" i="19"/>
  <c r="H18" i="19"/>
  <c r="I18" i="19"/>
  <c r="K25" i="19"/>
  <c r="G25" i="19"/>
  <c r="H25" i="19"/>
  <c r="J25" i="19"/>
  <c r="I25" i="19"/>
  <c r="I12" i="19"/>
  <c r="H12" i="19"/>
  <c r="K12" i="19"/>
  <c r="J12" i="19"/>
  <c r="G12" i="19"/>
  <c r="I11" i="19"/>
  <c r="J11" i="19"/>
  <c r="K11" i="19"/>
  <c r="H11" i="19"/>
  <c r="G11" i="19"/>
  <c r="K14" i="19"/>
  <c r="G14" i="19"/>
  <c r="J14" i="19"/>
  <c r="I14" i="19"/>
  <c r="H14" i="19"/>
  <c r="G21" i="19"/>
  <c r="H21" i="19"/>
  <c r="K21" i="19"/>
  <c r="I21" i="19"/>
  <c r="J21" i="19"/>
  <c r="I8" i="19"/>
  <c r="H8" i="19"/>
  <c r="J8" i="19"/>
  <c r="G8" i="19"/>
  <c r="K8" i="19"/>
  <c r="I39" i="19"/>
  <c r="J39" i="19"/>
  <c r="H39" i="19"/>
  <c r="K39" i="19"/>
  <c r="G39" i="19"/>
  <c r="J23" i="19"/>
  <c r="I23" i="19"/>
  <c r="G23" i="19"/>
  <c r="K23" i="19"/>
  <c r="H23" i="19"/>
  <c r="J26" i="19"/>
  <c r="K26" i="19"/>
  <c r="G26" i="19"/>
  <c r="H26" i="19"/>
  <c r="I26" i="19"/>
  <c r="K10" i="19"/>
  <c r="G10" i="19"/>
  <c r="J10" i="19"/>
  <c r="I10" i="19"/>
  <c r="H10" i="19"/>
  <c r="K33" i="19"/>
  <c r="G33" i="19"/>
  <c r="H33" i="19"/>
  <c r="J33" i="19"/>
  <c r="I33" i="19"/>
  <c r="I20" i="19"/>
  <c r="H20" i="19"/>
  <c r="K20" i="19"/>
  <c r="J20" i="19"/>
  <c r="G20" i="19"/>
  <c r="H17" i="19"/>
  <c r="K17" i="19"/>
  <c r="G17" i="19"/>
  <c r="J17" i="19"/>
  <c r="I17" i="19"/>
  <c r="I4" i="19"/>
  <c r="H4" i="19"/>
  <c r="K4" i="19"/>
  <c r="J4" i="19"/>
  <c r="G4" i="19"/>
  <c r="I35" i="19"/>
  <c r="J35" i="19"/>
  <c r="H35" i="19"/>
  <c r="K35" i="19"/>
  <c r="G35" i="19"/>
  <c r="J19" i="19"/>
  <c r="I19" i="19"/>
  <c r="K19" i="19"/>
  <c r="H19" i="19"/>
  <c r="G19" i="19"/>
  <c r="J38" i="19"/>
  <c r="K38" i="19"/>
  <c r="G38" i="19"/>
  <c r="I38" i="19"/>
  <c r="H38" i="19"/>
  <c r="J22" i="19"/>
  <c r="K22" i="19"/>
  <c r="G22" i="19"/>
  <c r="I22" i="19"/>
  <c r="H22" i="19"/>
  <c r="K6" i="19"/>
  <c r="G6" i="19"/>
  <c r="J6" i="19"/>
  <c r="I6" i="19"/>
  <c r="H6" i="19"/>
  <c r="K29" i="19"/>
  <c r="G29" i="19"/>
  <c r="H29" i="19"/>
  <c r="I29" i="19"/>
  <c r="J29" i="19"/>
  <c r="H32" i="19"/>
  <c r="K32" i="19"/>
  <c r="I32" i="19"/>
  <c r="G32" i="19"/>
  <c r="J32" i="19"/>
  <c r="I16" i="19"/>
  <c r="H16" i="19"/>
  <c r="J16" i="19"/>
  <c r="G16" i="19"/>
  <c r="K16" i="19"/>
  <c r="H13" i="19"/>
  <c r="K13" i="19"/>
  <c r="G13" i="19"/>
  <c r="I13" i="19"/>
  <c r="J13" i="19"/>
  <c r="J34" i="19"/>
  <c r="I34" i="19"/>
  <c r="K34" i="19"/>
  <c r="G34" i="19"/>
  <c r="H34" i="19"/>
  <c r="H40" i="19"/>
  <c r="G40" i="19"/>
  <c r="I40" i="19"/>
  <c r="K40" i="19"/>
  <c r="J40" i="19"/>
  <c r="H28" i="19"/>
  <c r="I28" i="19"/>
  <c r="K28" i="19"/>
  <c r="J28" i="19"/>
  <c r="G28" i="19"/>
  <c r="H9" i="19"/>
  <c r="K9" i="19"/>
  <c r="G9" i="19"/>
  <c r="J9" i="19"/>
  <c r="I9" i="19"/>
  <c r="I27" i="19"/>
  <c r="J27" i="19"/>
  <c r="K27" i="19"/>
  <c r="H27" i="19"/>
  <c r="G27" i="19"/>
  <c r="J30" i="19"/>
  <c r="K30" i="19"/>
  <c r="G30" i="19"/>
  <c r="I30" i="19"/>
  <c r="H30" i="19"/>
  <c r="K37" i="19"/>
  <c r="G37" i="19"/>
  <c r="J37" i="19"/>
  <c r="H37" i="19"/>
  <c r="I37" i="19"/>
  <c r="H24" i="19"/>
  <c r="I24" i="19"/>
  <c r="J24" i="19"/>
  <c r="G24" i="19"/>
  <c r="K24" i="19"/>
  <c r="H5" i="19"/>
  <c r="K5" i="19"/>
  <c r="G5" i="19"/>
  <c r="I5" i="19"/>
  <c r="J5" i="19"/>
  <c r="I7" i="19"/>
  <c r="J7" i="19"/>
  <c r="G7" i="19"/>
  <c r="K7" i="19"/>
  <c r="H7" i="19"/>
  <c r="H36" i="19"/>
  <c r="G36" i="19"/>
  <c r="I36" i="19"/>
  <c r="K36" i="19"/>
  <c r="J36" i="19"/>
  <c r="AE1" i="19" l="1"/>
  <c r="AG1" i="19"/>
  <c r="G7" i="22"/>
  <c r="G6" i="22"/>
  <c r="G3" i="22"/>
  <c r="C8" i="22"/>
  <c r="C7" i="22"/>
  <c r="C5" i="22"/>
  <c r="C4" i="22"/>
  <c r="C3" i="22"/>
  <c r="A7" i="22"/>
  <c r="A5" i="22"/>
  <c r="A2" i="22"/>
  <c r="C2" i="22"/>
  <c r="D40" i="13"/>
  <c r="D39" i="13"/>
  <c r="D41" i="13"/>
  <c r="D45" i="13"/>
  <c r="D32" i="13"/>
  <c r="D42" i="13"/>
  <c r="D43" i="13"/>
  <c r="D30" i="13"/>
  <c r="D2" i="13"/>
  <c r="D26" i="13"/>
  <c r="D18" i="13"/>
  <c r="D17" i="13"/>
  <c r="D3" i="13"/>
  <c r="D44" i="13"/>
  <c r="D23" i="13"/>
  <c r="D8" i="13"/>
  <c r="D4" i="13"/>
  <c r="D16" i="13"/>
  <c r="D13" i="13"/>
  <c r="D15" i="13"/>
  <c r="D5" i="13"/>
  <c r="D33" i="13"/>
  <c r="D46" i="13"/>
  <c r="D11" i="13"/>
  <c r="D14" i="13"/>
  <c r="D24" i="13"/>
  <c r="D19" i="13"/>
  <c r="D37" i="13"/>
  <c r="D27" i="13"/>
  <c r="D29" i="13"/>
  <c r="D36" i="13"/>
  <c r="D6" i="13"/>
  <c r="D28" i="13"/>
  <c r="D12" i="13"/>
  <c r="D22" i="13"/>
  <c r="D21" i="13"/>
  <c r="D20" i="13"/>
  <c r="D31" i="13"/>
  <c r="D10" i="13"/>
  <c r="D35" i="13"/>
  <c r="D9" i="13"/>
  <c r="D38" i="13"/>
  <c r="D25" i="13"/>
  <c r="D7" i="13"/>
  <c r="D34" i="13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C47" i="19"/>
  <c r="B47" i="19"/>
  <c r="C46" i="19"/>
  <c r="B46" i="19"/>
  <c r="C45" i="19"/>
  <c r="B45" i="19"/>
  <c r="C44" i="19"/>
  <c r="B44" i="19"/>
  <c r="C43" i="19"/>
  <c r="B43" i="19"/>
  <c r="C42" i="19"/>
  <c r="B42" i="19"/>
  <c r="C41" i="19"/>
  <c r="B41" i="19"/>
  <c r="C40" i="19"/>
  <c r="B40" i="19"/>
  <c r="C39" i="19"/>
  <c r="B39" i="19"/>
  <c r="C38" i="19"/>
  <c r="B38" i="19"/>
  <c r="C37" i="19"/>
  <c r="B37" i="19"/>
  <c r="C36" i="19"/>
  <c r="B36" i="19"/>
  <c r="C35" i="19"/>
  <c r="B35" i="19"/>
  <c r="C34" i="19"/>
  <c r="B34" i="19"/>
  <c r="C33" i="19"/>
  <c r="B33" i="19"/>
  <c r="C32" i="19"/>
  <c r="B32" i="19"/>
  <c r="C31" i="19"/>
  <c r="B31" i="19"/>
  <c r="C30" i="19"/>
  <c r="B30" i="19"/>
  <c r="C29" i="19"/>
  <c r="B29" i="19"/>
  <c r="C28" i="19"/>
  <c r="B28" i="19"/>
  <c r="C27" i="19"/>
  <c r="B27" i="19"/>
  <c r="C26" i="19"/>
  <c r="B26" i="19"/>
  <c r="C25" i="19"/>
  <c r="B25" i="19"/>
  <c r="C24" i="19"/>
  <c r="B24" i="19"/>
  <c r="C23" i="19"/>
  <c r="B23" i="19"/>
  <c r="C22" i="19"/>
  <c r="B22" i="19"/>
  <c r="C21" i="19"/>
  <c r="B21" i="19"/>
  <c r="C20" i="19"/>
  <c r="B20" i="19"/>
  <c r="C19" i="19"/>
  <c r="B19" i="19"/>
  <c r="C18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C10" i="19"/>
  <c r="B10" i="19"/>
  <c r="C9" i="19"/>
  <c r="B9" i="19"/>
  <c r="C8" i="19"/>
  <c r="B8" i="19"/>
  <c r="C7" i="19"/>
  <c r="B7" i="19"/>
  <c r="C6" i="19"/>
  <c r="B6" i="19"/>
  <c r="C5" i="19"/>
  <c r="B5" i="19"/>
  <c r="C4" i="19"/>
  <c r="B4" i="19"/>
  <c r="C3" i="19"/>
  <c r="B3" i="19"/>
  <c r="O4" i="13"/>
  <c r="O3" i="13"/>
  <c r="O5" i="13"/>
  <c r="O2" i="13"/>
  <c r="AI1" i="19" l="1"/>
  <c r="AK1" i="19"/>
  <c r="AM1" i="19" s="1"/>
  <c r="F45" i="19"/>
  <c r="F41" i="19"/>
  <c r="F37" i="19"/>
  <c r="F33" i="19"/>
  <c r="F29" i="19"/>
  <c r="F25" i="19"/>
  <c r="F21" i="19"/>
  <c r="F17" i="19"/>
  <c r="F13" i="19"/>
  <c r="F9" i="19"/>
  <c r="F5" i="19"/>
  <c r="F46" i="19"/>
  <c r="F42" i="19"/>
  <c r="F38" i="19"/>
  <c r="F34" i="19"/>
  <c r="F30" i="19"/>
  <c r="F26" i="19"/>
  <c r="F22" i="19"/>
  <c r="F18" i="19"/>
  <c r="F14" i="19"/>
  <c r="F10" i="19"/>
  <c r="F6" i="19"/>
  <c r="F47" i="19"/>
  <c r="F43" i="19"/>
  <c r="F39" i="19"/>
  <c r="F35" i="19"/>
  <c r="F31" i="19"/>
  <c r="F27" i="19"/>
  <c r="F23" i="19"/>
  <c r="F19" i="19"/>
  <c r="F15" i="19"/>
  <c r="F11" i="19"/>
  <c r="F7" i="19"/>
  <c r="F44" i="19"/>
  <c r="F40" i="19"/>
  <c r="F36" i="19"/>
  <c r="F32" i="19"/>
  <c r="F28" i="19"/>
  <c r="F24" i="19"/>
  <c r="F20" i="19"/>
  <c r="F16" i="19"/>
  <c r="F12" i="19"/>
  <c r="F8" i="19"/>
  <c r="F4" i="19"/>
  <c r="F3" i="19"/>
  <c r="D12" i="19"/>
  <c r="G2" i="22"/>
  <c r="G8" i="22"/>
  <c r="B7" i="22"/>
  <c r="D17" i="19"/>
  <c r="D23" i="19"/>
  <c r="D47" i="19"/>
  <c r="D43" i="19"/>
  <c r="D44" i="19"/>
  <c r="D46" i="19"/>
  <c r="D41" i="19"/>
  <c r="D39" i="19"/>
  <c r="D29" i="19"/>
  <c r="D45" i="19"/>
  <c r="D8" i="19"/>
  <c r="D24" i="19"/>
  <c r="D28" i="19"/>
  <c r="D32" i="19"/>
  <c r="D40" i="19"/>
  <c r="D16" i="19"/>
  <c r="D6" i="19"/>
  <c r="D4" i="19"/>
  <c r="D5" i="19"/>
  <c r="D9" i="19"/>
  <c r="D33" i="19"/>
  <c r="D37" i="19"/>
  <c r="D20" i="19"/>
  <c r="D13" i="19"/>
  <c r="D21" i="19"/>
  <c r="D25" i="19"/>
  <c r="D3" i="19"/>
  <c r="D7" i="19"/>
  <c r="D11" i="19"/>
  <c r="D15" i="19"/>
  <c r="D19" i="19"/>
  <c r="D27" i="19"/>
  <c r="D31" i="19"/>
  <c r="D35" i="19"/>
  <c r="D10" i="19"/>
  <c r="D14" i="19"/>
  <c r="D18" i="19"/>
  <c r="D22" i="19"/>
  <c r="D26" i="19"/>
  <c r="D30" i="19"/>
  <c r="D34" i="19"/>
  <c r="D38" i="19"/>
  <c r="D42" i="19"/>
  <c r="D36" i="19"/>
  <c r="AL18" i="19" l="1"/>
  <c r="AH18" i="19"/>
  <c r="AD18" i="19"/>
  <c r="Z18" i="19"/>
  <c r="V18" i="19"/>
  <c r="R18" i="19"/>
  <c r="N18" i="19"/>
  <c r="AM18" i="19"/>
  <c r="O18" i="19"/>
  <c r="AK18" i="19"/>
  <c r="AG18" i="19"/>
  <c r="AC18" i="19"/>
  <c r="AE18" i="19"/>
  <c r="AN18" i="19"/>
  <c r="AJ18" i="19"/>
  <c r="AF18" i="19"/>
  <c r="AB18" i="19"/>
  <c r="X18" i="19"/>
  <c r="T18" i="19"/>
  <c r="P18" i="19"/>
  <c r="AI18" i="19"/>
  <c r="AA18" i="19"/>
  <c r="AK31" i="19"/>
  <c r="AG31" i="19"/>
  <c r="AC31" i="19"/>
  <c r="O31" i="19"/>
  <c r="AM31" i="19"/>
  <c r="AI31" i="19"/>
  <c r="W31" i="19"/>
  <c r="R31" i="19"/>
  <c r="AN31" i="19"/>
  <c r="AF31" i="19"/>
  <c r="X31" i="19"/>
  <c r="N31" i="19"/>
  <c r="AL31" i="19"/>
  <c r="AD31" i="19"/>
  <c r="V31" i="19"/>
  <c r="AJ31" i="19"/>
  <c r="AB31" i="19"/>
  <c r="AH31" i="19"/>
  <c r="Z31" i="19"/>
  <c r="P31" i="19"/>
  <c r="T31" i="19"/>
  <c r="AL11" i="19"/>
  <c r="AH11" i="19"/>
  <c r="AD11" i="19"/>
  <c r="Z11" i="19"/>
  <c r="V11" i="19"/>
  <c r="R11" i="19"/>
  <c r="N11" i="19"/>
  <c r="AK11" i="19"/>
  <c r="AG11" i="19"/>
  <c r="Y11" i="19"/>
  <c r="U11" i="19"/>
  <c r="AN11" i="19"/>
  <c r="AJ11" i="19"/>
  <c r="AF11" i="19"/>
  <c r="AB11" i="19"/>
  <c r="X11" i="19"/>
  <c r="T11" i="19"/>
  <c r="P11" i="19"/>
  <c r="AA11" i="19"/>
  <c r="AM11" i="19"/>
  <c r="W11" i="19"/>
  <c r="AI11" i="19"/>
  <c r="S11" i="19"/>
  <c r="AN21" i="19"/>
  <c r="AJ21" i="19"/>
  <c r="AF21" i="19"/>
  <c r="AB21" i="19"/>
  <c r="X21" i="19"/>
  <c r="T21" i="19"/>
  <c r="P21" i="19"/>
  <c r="AL21" i="19"/>
  <c r="AH21" i="19"/>
  <c r="AD21" i="19"/>
  <c r="Z21" i="19"/>
  <c r="V21" i="19"/>
  <c r="R21" i="19"/>
  <c r="N21" i="19"/>
  <c r="AI21" i="19"/>
  <c r="AA21" i="19"/>
  <c r="S21" i="19"/>
  <c r="AG21" i="19"/>
  <c r="AK21" i="19"/>
  <c r="M21" i="19"/>
  <c r="AM21" i="19"/>
  <c r="AE21" i="19"/>
  <c r="AK33" i="19"/>
  <c r="AG33" i="19"/>
  <c r="Q33" i="19"/>
  <c r="AN33" i="19"/>
  <c r="AJ33" i="19"/>
  <c r="AF33" i="19"/>
  <c r="AB33" i="19"/>
  <c r="X33" i="19"/>
  <c r="T33" i="19"/>
  <c r="P33" i="19"/>
  <c r="AM33" i="19"/>
  <c r="AI33" i="19"/>
  <c r="AE33" i="19"/>
  <c r="O33" i="19"/>
  <c r="AH33" i="19"/>
  <c r="R33" i="19"/>
  <c r="AD33" i="19"/>
  <c r="N33" i="19"/>
  <c r="Z33" i="19"/>
  <c r="V33" i="19"/>
  <c r="AL33" i="19"/>
  <c r="AM6" i="19"/>
  <c r="AI6" i="19"/>
  <c r="AE6" i="19"/>
  <c r="AL6" i="19"/>
  <c r="AH6" i="19"/>
  <c r="AD6" i="19"/>
  <c r="Z6" i="19"/>
  <c r="V6" i="19"/>
  <c r="R6" i="19"/>
  <c r="AK6" i="19"/>
  <c r="AG6" i="19"/>
  <c r="AC6" i="19"/>
  <c r="Y6" i="19"/>
  <c r="AF6" i="19"/>
  <c r="P6" i="19"/>
  <c r="AB6" i="19"/>
  <c r="AN6" i="19"/>
  <c r="X6" i="19"/>
  <c r="AJ6" i="19"/>
  <c r="T6" i="19"/>
  <c r="N6" i="19"/>
  <c r="AK28" i="19"/>
  <c r="AG28" i="19"/>
  <c r="AC28" i="19"/>
  <c r="M28" i="19"/>
  <c r="AN28" i="19"/>
  <c r="AJ28" i="19"/>
  <c r="AF28" i="19"/>
  <c r="AB28" i="19"/>
  <c r="X28" i="19"/>
  <c r="T28" i="19"/>
  <c r="P28" i="19"/>
  <c r="AM28" i="19"/>
  <c r="AI28" i="19"/>
  <c r="AE28" i="19"/>
  <c r="W28" i="19"/>
  <c r="Z28" i="19"/>
  <c r="AL28" i="19"/>
  <c r="V28" i="19"/>
  <c r="N28" i="19"/>
  <c r="AH28" i="19"/>
  <c r="R28" i="19"/>
  <c r="AD28" i="19"/>
  <c r="AK29" i="19"/>
  <c r="AG29" i="19"/>
  <c r="AN29" i="19"/>
  <c r="AJ29" i="19"/>
  <c r="AF29" i="19"/>
  <c r="AB29" i="19"/>
  <c r="X29" i="19"/>
  <c r="T29" i="19"/>
  <c r="P29" i="19"/>
  <c r="AM29" i="19"/>
  <c r="AI29" i="19"/>
  <c r="AD29" i="19"/>
  <c r="N29" i="19"/>
  <c r="R29" i="19"/>
  <c r="Z29" i="19"/>
  <c r="AH29" i="19"/>
  <c r="AL29" i="19"/>
  <c r="V29" i="19"/>
  <c r="AL44" i="19"/>
  <c r="AH44" i="19"/>
  <c r="AD44" i="19"/>
  <c r="Z44" i="19"/>
  <c r="V44" i="19"/>
  <c r="R44" i="19"/>
  <c r="N44" i="19"/>
  <c r="AN44" i="19"/>
  <c r="AJ44" i="19"/>
  <c r="AF44" i="19"/>
  <c r="AB44" i="19"/>
  <c r="X44" i="19"/>
  <c r="T44" i="19"/>
  <c r="P44" i="19"/>
  <c r="AG44" i="19"/>
  <c r="Y44" i="19"/>
  <c r="Q44" i="19"/>
  <c r="AM44" i="19"/>
  <c r="AE44" i="19"/>
  <c r="W44" i="19"/>
  <c r="O44" i="19"/>
  <c r="AK44" i="19"/>
  <c r="AC44" i="19"/>
  <c r="U44" i="19"/>
  <c r="M44" i="19"/>
  <c r="AI44" i="19"/>
  <c r="AA44" i="19"/>
  <c r="S44" i="19"/>
  <c r="AL17" i="19"/>
  <c r="AH17" i="19"/>
  <c r="AD17" i="19"/>
  <c r="Z17" i="19"/>
  <c r="V17" i="19"/>
  <c r="R17" i="19"/>
  <c r="N17" i="19"/>
  <c r="AE17" i="19"/>
  <c r="O17" i="19"/>
  <c r="AK17" i="19"/>
  <c r="AG17" i="19"/>
  <c r="AI17" i="19"/>
  <c r="W17" i="19"/>
  <c r="AN17" i="19"/>
  <c r="AJ17" i="19"/>
  <c r="AF17" i="19"/>
  <c r="AB17" i="19"/>
  <c r="X17" i="19"/>
  <c r="T17" i="19"/>
  <c r="P17" i="19"/>
  <c r="AM17" i="19"/>
  <c r="AL12" i="19"/>
  <c r="AH12" i="19"/>
  <c r="AD12" i="19"/>
  <c r="Z12" i="19"/>
  <c r="V12" i="19"/>
  <c r="R12" i="19"/>
  <c r="N12" i="19"/>
  <c r="AK12" i="19"/>
  <c r="AG12" i="19"/>
  <c r="M12" i="19"/>
  <c r="AN12" i="19"/>
  <c r="AJ12" i="19"/>
  <c r="AF12" i="19"/>
  <c r="AB12" i="19"/>
  <c r="X12" i="19"/>
  <c r="T12" i="19"/>
  <c r="P12" i="19"/>
  <c r="AE12" i="19"/>
  <c r="AA12" i="19"/>
  <c r="AM12" i="19"/>
  <c r="AI12" i="19"/>
  <c r="S12" i="19"/>
  <c r="AK30" i="19"/>
  <c r="AG30" i="19"/>
  <c r="AC30" i="19"/>
  <c r="U30" i="19"/>
  <c r="Q30" i="19"/>
  <c r="AN30" i="19"/>
  <c r="AJ30" i="19"/>
  <c r="AF30" i="19"/>
  <c r="AB30" i="19"/>
  <c r="X30" i="19"/>
  <c r="T30" i="19"/>
  <c r="P30" i="19"/>
  <c r="AM30" i="19"/>
  <c r="AI30" i="19"/>
  <c r="AA30" i="19"/>
  <c r="W30" i="19"/>
  <c r="O30" i="19"/>
  <c r="AH30" i="19"/>
  <c r="R30" i="19"/>
  <c r="AD30" i="19"/>
  <c r="N30" i="19"/>
  <c r="AL30" i="19"/>
  <c r="V30" i="19"/>
  <c r="Z30" i="19"/>
  <c r="AK27" i="19"/>
  <c r="AG27" i="19"/>
  <c r="AN27" i="19"/>
  <c r="AJ27" i="19"/>
  <c r="AF27" i="19"/>
  <c r="AB27" i="19"/>
  <c r="X27" i="19"/>
  <c r="T27" i="19"/>
  <c r="P27" i="19"/>
  <c r="AM27" i="19"/>
  <c r="AI27" i="19"/>
  <c r="AL27" i="19"/>
  <c r="V27" i="19"/>
  <c r="Z27" i="19"/>
  <c r="AH27" i="19"/>
  <c r="R27" i="19"/>
  <c r="AD27" i="19"/>
  <c r="N27" i="19"/>
  <c r="AL7" i="19"/>
  <c r="AH7" i="19"/>
  <c r="AC7" i="19"/>
  <c r="Y7" i="19"/>
  <c r="P7" i="19"/>
  <c r="AE7" i="19"/>
  <c r="AK7" i="19"/>
  <c r="AG7" i="19"/>
  <c r="AB7" i="19"/>
  <c r="X7" i="19"/>
  <c r="T7" i="19"/>
  <c r="N7" i="19"/>
  <c r="AJ7" i="19"/>
  <c r="AF7" i="19"/>
  <c r="AA7" i="19"/>
  <c r="S7" i="19"/>
  <c r="M7" i="19"/>
  <c r="AM7" i="19"/>
  <c r="AN7" i="19"/>
  <c r="V7" i="19"/>
  <c r="AI7" i="19"/>
  <c r="Q7" i="19"/>
  <c r="AD7" i="19"/>
  <c r="Z7" i="19"/>
  <c r="R7" i="19"/>
  <c r="O7" i="19"/>
  <c r="AL13" i="19"/>
  <c r="AH13" i="19"/>
  <c r="AD13" i="19"/>
  <c r="Z13" i="19"/>
  <c r="V13" i="19"/>
  <c r="R13" i="19"/>
  <c r="N13" i="19"/>
  <c r="AK13" i="19"/>
  <c r="AG13" i="19"/>
  <c r="AC13" i="19"/>
  <c r="AN13" i="19"/>
  <c r="AJ13" i="19"/>
  <c r="AF13" i="19"/>
  <c r="AB13" i="19"/>
  <c r="X13" i="19"/>
  <c r="T13" i="19"/>
  <c r="P13" i="19"/>
  <c r="AI13" i="19"/>
  <c r="AE13" i="19"/>
  <c r="O13" i="19"/>
  <c r="AM13" i="19"/>
  <c r="AK9" i="19"/>
  <c r="AG9" i="19"/>
  <c r="Y9" i="19"/>
  <c r="U9" i="19"/>
  <c r="P9" i="19"/>
  <c r="AN9" i="19"/>
  <c r="AJ9" i="19"/>
  <c r="AF9" i="19"/>
  <c r="AB9" i="19"/>
  <c r="X9" i="19"/>
  <c r="T9" i="19"/>
  <c r="O9" i="19"/>
  <c r="AM9" i="19"/>
  <c r="AI9" i="19"/>
  <c r="AE9" i="19"/>
  <c r="W9" i="19"/>
  <c r="S9" i="19"/>
  <c r="N9" i="19"/>
  <c r="AH9" i="19"/>
  <c r="R9" i="19"/>
  <c r="AD9" i="19"/>
  <c r="Z9" i="19"/>
  <c r="AL9" i="19"/>
  <c r="V9" i="19"/>
  <c r="AL16" i="19"/>
  <c r="AH16" i="19"/>
  <c r="AD16" i="19"/>
  <c r="Z16" i="19"/>
  <c r="V16" i="19"/>
  <c r="R16" i="19"/>
  <c r="N16" i="19"/>
  <c r="AK16" i="19"/>
  <c r="AG16" i="19"/>
  <c r="AN16" i="19"/>
  <c r="AJ16" i="19"/>
  <c r="AF16" i="19"/>
  <c r="AB16" i="19"/>
  <c r="X16" i="19"/>
  <c r="T16" i="19"/>
  <c r="P16" i="19"/>
  <c r="AE16" i="19"/>
  <c r="O16" i="19"/>
  <c r="AM16" i="19"/>
  <c r="W16" i="19"/>
  <c r="AI16" i="19"/>
  <c r="AK24" i="19"/>
  <c r="AG24" i="19"/>
  <c r="Y24" i="19"/>
  <c r="P24" i="19"/>
  <c r="AN24" i="19"/>
  <c r="AJ24" i="19"/>
  <c r="AF24" i="19"/>
  <c r="AB24" i="19"/>
  <c r="X24" i="19"/>
  <c r="AM24" i="19"/>
  <c r="AI24" i="19"/>
  <c r="AA24" i="19"/>
  <c r="R24" i="19"/>
  <c r="N24" i="19"/>
  <c r="AL24" i="19"/>
  <c r="V24" i="19"/>
  <c r="AH24" i="19"/>
  <c r="AD24" i="19"/>
  <c r="Z24" i="19"/>
  <c r="T24" i="19"/>
  <c r="AN39" i="19"/>
  <c r="AJ39" i="19"/>
  <c r="AF39" i="19"/>
  <c r="AB39" i="19"/>
  <c r="X39" i="19"/>
  <c r="T39" i="19"/>
  <c r="P39" i="19"/>
  <c r="AK39" i="19"/>
  <c r="AE39" i="19"/>
  <c r="Z39" i="19"/>
  <c r="O39" i="19"/>
  <c r="AI39" i="19"/>
  <c r="AD39" i="19"/>
  <c r="S39" i="19"/>
  <c r="N39" i="19"/>
  <c r="AM39" i="19"/>
  <c r="AH39" i="19"/>
  <c r="W39" i="19"/>
  <c r="R39" i="19"/>
  <c r="AL39" i="19"/>
  <c r="AG39" i="19"/>
  <c r="AA39" i="19"/>
  <c r="V39" i="19"/>
  <c r="AL43" i="19"/>
  <c r="AN43" i="19"/>
  <c r="AJ43" i="19"/>
  <c r="AF43" i="19"/>
  <c r="AB43" i="19"/>
  <c r="X43" i="19"/>
  <c r="T43" i="19"/>
  <c r="P43" i="19"/>
  <c r="AK43" i="19"/>
  <c r="AE43" i="19"/>
  <c r="Z43" i="19"/>
  <c r="AI43" i="19"/>
  <c r="AD43" i="19"/>
  <c r="S43" i="19"/>
  <c r="N43" i="19"/>
  <c r="AH43" i="19"/>
  <c r="W43" i="19"/>
  <c r="R43" i="19"/>
  <c r="M43" i="19"/>
  <c r="AG43" i="19"/>
  <c r="V43" i="19"/>
  <c r="AM43" i="19"/>
  <c r="Q43" i="19"/>
  <c r="AN36" i="19"/>
  <c r="AJ36" i="19"/>
  <c r="AF36" i="19"/>
  <c r="AB36" i="19"/>
  <c r="X36" i="19"/>
  <c r="T36" i="19"/>
  <c r="P36" i="19"/>
  <c r="AI36" i="19"/>
  <c r="AD36" i="19"/>
  <c r="S36" i="19"/>
  <c r="N36" i="19"/>
  <c r="AM36" i="19"/>
  <c r="AH36" i="19"/>
  <c r="W36" i="19"/>
  <c r="R36" i="19"/>
  <c r="M36" i="19"/>
  <c r="AL36" i="19"/>
  <c r="AG36" i="19"/>
  <c r="V36" i="19"/>
  <c r="Q36" i="19"/>
  <c r="AK36" i="19"/>
  <c r="AE36" i="19"/>
  <c r="Z36" i="19"/>
  <c r="AL14" i="19"/>
  <c r="AH14" i="19"/>
  <c r="AD14" i="19"/>
  <c r="Z14" i="19"/>
  <c r="V14" i="19"/>
  <c r="R14" i="19"/>
  <c r="N14" i="19"/>
  <c r="AK14" i="19"/>
  <c r="AG14" i="19"/>
  <c r="AN14" i="19"/>
  <c r="AJ14" i="19"/>
  <c r="AF14" i="19"/>
  <c r="AB14" i="19"/>
  <c r="X14" i="19"/>
  <c r="T14" i="19"/>
  <c r="P14" i="19"/>
  <c r="AM14" i="19"/>
  <c r="W14" i="19"/>
  <c r="AI14" i="19"/>
  <c r="AN42" i="19"/>
  <c r="AJ42" i="19"/>
  <c r="AF42" i="19"/>
  <c r="AB42" i="19"/>
  <c r="X42" i="19"/>
  <c r="T42" i="19"/>
  <c r="P42" i="19"/>
  <c r="AL42" i="19"/>
  <c r="AG42" i="19"/>
  <c r="AA42" i="19"/>
  <c r="V42" i="19"/>
  <c r="AK42" i="19"/>
  <c r="Z42" i="19"/>
  <c r="U42" i="19"/>
  <c r="O42" i="19"/>
  <c r="AI42" i="19"/>
  <c r="AD42" i="19"/>
  <c r="Y42" i="19"/>
  <c r="N42" i="19"/>
  <c r="AM42" i="19"/>
  <c r="R42" i="19"/>
  <c r="AH42" i="19"/>
  <c r="M42" i="19"/>
  <c r="W42" i="19"/>
  <c r="AJ26" i="19"/>
  <c r="R26" i="19"/>
  <c r="AM26" i="19"/>
  <c r="AI26" i="19"/>
  <c r="AD26" i="19"/>
  <c r="Z26" i="19"/>
  <c r="V26" i="19"/>
  <c r="AL26" i="19"/>
  <c r="AH26" i="19"/>
  <c r="AG26" i="19"/>
  <c r="N26" i="19"/>
  <c r="AF26" i="19"/>
  <c r="AB26" i="19"/>
  <c r="AN26" i="19"/>
  <c r="AK26" i="19"/>
  <c r="X26" i="19"/>
  <c r="T26" i="19"/>
  <c r="P26" i="19"/>
  <c r="AL10" i="19"/>
  <c r="AH10" i="19"/>
  <c r="AD10" i="19"/>
  <c r="Z10" i="19"/>
  <c r="V10" i="19"/>
  <c r="AK10" i="19"/>
  <c r="AG10" i="19"/>
  <c r="U10" i="19"/>
  <c r="P10" i="19"/>
  <c r="AN10" i="19"/>
  <c r="AJ10" i="19"/>
  <c r="AF10" i="19"/>
  <c r="AB10" i="19"/>
  <c r="X10" i="19"/>
  <c r="T10" i="19"/>
  <c r="O10" i="19"/>
  <c r="AM10" i="19"/>
  <c r="AI10" i="19"/>
  <c r="AE10" i="19"/>
  <c r="N10" i="19"/>
  <c r="R10" i="19"/>
  <c r="AL19" i="19"/>
  <c r="AH19" i="19"/>
  <c r="AD19" i="19"/>
  <c r="Z19" i="19"/>
  <c r="V19" i="19"/>
  <c r="R19" i="19"/>
  <c r="N19" i="19"/>
  <c r="AI19" i="19"/>
  <c r="W19" i="19"/>
  <c r="AK19" i="19"/>
  <c r="AG19" i="19"/>
  <c r="AE19" i="19"/>
  <c r="AN19" i="19"/>
  <c r="AJ19" i="19"/>
  <c r="AF19" i="19"/>
  <c r="AB19" i="19"/>
  <c r="X19" i="19"/>
  <c r="T19" i="19"/>
  <c r="P19" i="19"/>
  <c r="AM19" i="19"/>
  <c r="AA19" i="19"/>
  <c r="S19" i="19"/>
  <c r="AB3" i="19"/>
  <c r="T3" i="19"/>
  <c r="AI3" i="19"/>
  <c r="AN3" i="19"/>
  <c r="X3" i="19"/>
  <c r="P3" i="19"/>
  <c r="AH3" i="19"/>
  <c r="V3" i="19"/>
  <c r="O3" i="19"/>
  <c r="AJ3" i="19"/>
  <c r="AM3" i="19"/>
  <c r="AG3" i="19"/>
  <c r="AK3" i="19"/>
  <c r="AD3" i="19"/>
  <c r="AE3" i="19"/>
  <c r="AF3" i="19"/>
  <c r="R3" i="19"/>
  <c r="AL3" i="19"/>
  <c r="N3" i="19"/>
  <c r="AN20" i="19"/>
  <c r="AJ20" i="19"/>
  <c r="AF20" i="19"/>
  <c r="AB20" i="19"/>
  <c r="X20" i="19"/>
  <c r="AL20" i="19"/>
  <c r="AH20" i="19"/>
  <c r="AD20" i="19"/>
  <c r="Z20" i="19"/>
  <c r="V20" i="19"/>
  <c r="AM20" i="19"/>
  <c r="R20" i="19"/>
  <c r="N20" i="19"/>
  <c r="O20" i="19"/>
  <c r="AK20" i="19"/>
  <c r="AI20" i="19"/>
  <c r="T20" i="19"/>
  <c r="P20" i="19"/>
  <c r="AG20" i="19"/>
  <c r="AL5" i="19"/>
  <c r="AH5" i="19"/>
  <c r="AD5" i="19"/>
  <c r="Z5" i="19"/>
  <c r="V5" i="19"/>
  <c r="R5" i="19"/>
  <c r="AK5" i="19"/>
  <c r="AG5" i="19"/>
  <c r="P5" i="19"/>
  <c r="AN5" i="19"/>
  <c r="AJ5" i="19"/>
  <c r="AF5" i="19"/>
  <c r="AB5" i="19"/>
  <c r="X5" i="19"/>
  <c r="T5" i="19"/>
  <c r="O5" i="19"/>
  <c r="AM5" i="19"/>
  <c r="AI5" i="19"/>
  <c r="N5" i="19"/>
  <c r="AN40" i="19"/>
  <c r="AJ40" i="19"/>
  <c r="AF40" i="19"/>
  <c r="AB40" i="19"/>
  <c r="X40" i="19"/>
  <c r="T40" i="19"/>
  <c r="P40" i="19"/>
  <c r="AI40" i="19"/>
  <c r="AD40" i="19"/>
  <c r="Y40" i="19"/>
  <c r="S40" i="19"/>
  <c r="N40" i="19"/>
  <c r="AM40" i="19"/>
  <c r="AH40" i="19"/>
  <c r="AC40" i="19"/>
  <c r="R40" i="19"/>
  <c r="AL40" i="19"/>
  <c r="AG40" i="19"/>
  <c r="V40" i="19"/>
  <c r="Q40" i="19"/>
  <c r="AE40" i="19"/>
  <c r="Z40" i="19"/>
  <c r="AK40" i="19"/>
  <c r="AN8" i="19"/>
  <c r="AJ8" i="19"/>
  <c r="AF8" i="19"/>
  <c r="AB8" i="19"/>
  <c r="X8" i="19"/>
  <c r="T8" i="19"/>
  <c r="AM8" i="19"/>
  <c r="AI8" i="19"/>
  <c r="AE8" i="19"/>
  <c r="W8" i="19"/>
  <c r="N8" i="19"/>
  <c r="AL8" i="19"/>
  <c r="AH8" i="19"/>
  <c r="AD8" i="19"/>
  <c r="Z8" i="19"/>
  <c r="V8" i="19"/>
  <c r="R8" i="19"/>
  <c r="AK8" i="19"/>
  <c r="AG8" i="19"/>
  <c r="P8" i="19"/>
  <c r="AN41" i="19"/>
  <c r="AJ41" i="19"/>
  <c r="AF41" i="19"/>
  <c r="AB41" i="19"/>
  <c r="X41" i="19"/>
  <c r="T41" i="19"/>
  <c r="P41" i="19"/>
  <c r="AM41" i="19"/>
  <c r="AH41" i="19"/>
  <c r="AC41" i="19"/>
  <c r="R41" i="19"/>
  <c r="M41" i="19"/>
  <c r="AL41" i="19"/>
  <c r="AG41" i="19"/>
  <c r="V41" i="19"/>
  <c r="Q41" i="19"/>
  <c r="AK41" i="19"/>
  <c r="AE41" i="19"/>
  <c r="Z41" i="19"/>
  <c r="U41" i="19"/>
  <c r="Y41" i="19"/>
  <c r="AI41" i="19"/>
  <c r="N41" i="19"/>
  <c r="AD41" i="19"/>
  <c r="AL47" i="19"/>
  <c r="AH47" i="19"/>
  <c r="AD47" i="19"/>
  <c r="Z47" i="19"/>
  <c r="V47" i="19"/>
  <c r="R47" i="19"/>
  <c r="N47" i="19"/>
  <c r="AK47" i="19"/>
  <c r="AG47" i="19"/>
  <c r="AC47" i="19"/>
  <c r="Y47" i="19"/>
  <c r="U47" i="19"/>
  <c r="Q47" i="19"/>
  <c r="M47" i="19"/>
  <c r="AN47" i="19"/>
  <c r="AJ47" i="19"/>
  <c r="AF47" i="19"/>
  <c r="AB47" i="19"/>
  <c r="X47" i="19"/>
  <c r="T47" i="19"/>
  <c r="P47" i="19"/>
  <c r="AE47" i="19"/>
  <c r="O47" i="19"/>
  <c r="AA47" i="19"/>
  <c r="AM47" i="19"/>
  <c r="W47" i="19"/>
  <c r="AI47" i="19"/>
  <c r="S47" i="19"/>
  <c r="AK34" i="19"/>
  <c r="AG34" i="19"/>
  <c r="Y34" i="19"/>
  <c r="U34" i="19"/>
  <c r="AN34" i="19"/>
  <c r="AJ34" i="19"/>
  <c r="AF34" i="19"/>
  <c r="AB34" i="19"/>
  <c r="X34" i="19"/>
  <c r="T34" i="19"/>
  <c r="P34" i="19"/>
  <c r="AM34" i="19"/>
  <c r="AI34" i="19"/>
  <c r="AE34" i="19"/>
  <c r="W34" i="19"/>
  <c r="AL34" i="19"/>
  <c r="V34" i="19"/>
  <c r="AH34" i="19"/>
  <c r="R34" i="19"/>
  <c r="AD34" i="19"/>
  <c r="N34" i="19"/>
  <c r="Z34" i="19"/>
  <c r="AN38" i="19"/>
  <c r="AJ38" i="19"/>
  <c r="AF38" i="19"/>
  <c r="AB38" i="19"/>
  <c r="X38" i="19"/>
  <c r="T38" i="19"/>
  <c r="P38" i="19"/>
  <c r="AL38" i="19"/>
  <c r="AG38" i="19"/>
  <c r="AA38" i="19"/>
  <c r="V38" i="19"/>
  <c r="Q38" i="19"/>
  <c r="AK38" i="19"/>
  <c r="AE38" i="19"/>
  <c r="Z38" i="19"/>
  <c r="O38" i="19"/>
  <c r="AI38" i="19"/>
  <c r="AD38" i="19"/>
  <c r="Y38" i="19"/>
  <c r="N38" i="19"/>
  <c r="AM38" i="19"/>
  <c r="R38" i="19"/>
  <c r="AH38" i="19"/>
  <c r="AN22" i="19"/>
  <c r="AJ22" i="19"/>
  <c r="AF22" i="19"/>
  <c r="AB22" i="19"/>
  <c r="X22" i="19"/>
  <c r="T22" i="19"/>
  <c r="P22" i="19"/>
  <c r="AM22" i="19"/>
  <c r="AI22" i="19"/>
  <c r="AE22" i="19"/>
  <c r="AA22" i="19"/>
  <c r="S22" i="19"/>
  <c r="AL22" i="19"/>
  <c r="AH22" i="19"/>
  <c r="AD22" i="19"/>
  <c r="Z22" i="19"/>
  <c r="V22" i="19"/>
  <c r="R22" i="19"/>
  <c r="N22" i="19"/>
  <c r="M22" i="19"/>
  <c r="AK22" i="19"/>
  <c r="AG22" i="19"/>
  <c r="AN35" i="19"/>
  <c r="AK35" i="19"/>
  <c r="AG35" i="19"/>
  <c r="U35" i="19"/>
  <c r="M35" i="19"/>
  <c r="AJ35" i="19"/>
  <c r="AF35" i="19"/>
  <c r="AB35" i="19"/>
  <c r="X35" i="19"/>
  <c r="T35" i="19"/>
  <c r="P35" i="19"/>
  <c r="AM35" i="19"/>
  <c r="AI35" i="19"/>
  <c r="AA35" i="19"/>
  <c r="W35" i="19"/>
  <c r="O35" i="19"/>
  <c r="Z35" i="19"/>
  <c r="AL35" i="19"/>
  <c r="V35" i="19"/>
  <c r="AH35" i="19"/>
  <c r="R35" i="19"/>
  <c r="N35" i="19"/>
  <c r="AD35" i="19"/>
  <c r="AL15" i="19"/>
  <c r="AH15" i="19"/>
  <c r="AD15" i="19"/>
  <c r="Z15" i="19"/>
  <c r="V15" i="19"/>
  <c r="R15" i="19"/>
  <c r="N15" i="19"/>
  <c r="AK15" i="19"/>
  <c r="AG15" i="19"/>
  <c r="AC15" i="19"/>
  <c r="AN15" i="19"/>
  <c r="AJ15" i="19"/>
  <c r="AF15" i="19"/>
  <c r="AB15" i="19"/>
  <c r="X15" i="19"/>
  <c r="T15" i="19"/>
  <c r="P15" i="19"/>
  <c r="AA15" i="19"/>
  <c r="AM15" i="19"/>
  <c r="AI15" i="19"/>
  <c r="AE15" i="19"/>
  <c r="AK25" i="19"/>
  <c r="AG25" i="19"/>
  <c r="U25" i="19"/>
  <c r="AN25" i="19"/>
  <c r="AJ25" i="19"/>
  <c r="AF25" i="19"/>
  <c r="AB25" i="19"/>
  <c r="X25" i="19"/>
  <c r="T25" i="19"/>
  <c r="P25" i="19"/>
  <c r="AM25" i="19"/>
  <c r="AI25" i="19"/>
  <c r="AE25" i="19"/>
  <c r="Z25" i="19"/>
  <c r="N25" i="19"/>
  <c r="AL25" i="19"/>
  <c r="V25" i="19"/>
  <c r="AD25" i="19"/>
  <c r="AH25" i="19"/>
  <c r="R25" i="19"/>
  <c r="AN37" i="19"/>
  <c r="AJ37" i="19"/>
  <c r="AF37" i="19"/>
  <c r="AB37" i="19"/>
  <c r="X37" i="19"/>
  <c r="T37" i="19"/>
  <c r="P37" i="19"/>
  <c r="AM37" i="19"/>
  <c r="AH37" i="19"/>
  <c r="AC37" i="19"/>
  <c r="R37" i="19"/>
  <c r="M37" i="19"/>
  <c r="AL37" i="19"/>
  <c r="AG37" i="19"/>
  <c r="AA37" i="19"/>
  <c r="V37" i="19"/>
  <c r="Q37" i="19"/>
  <c r="AK37" i="19"/>
  <c r="Z37" i="19"/>
  <c r="U37" i="19"/>
  <c r="O37" i="19"/>
  <c r="AD37" i="19"/>
  <c r="Y37" i="19"/>
  <c r="AI37" i="19"/>
  <c r="N37" i="19"/>
  <c r="AN4" i="19"/>
  <c r="AI4" i="19"/>
  <c r="Z4" i="19"/>
  <c r="V4" i="19"/>
  <c r="R4" i="19"/>
  <c r="N4" i="19"/>
  <c r="AK4" i="19"/>
  <c r="AM4" i="19"/>
  <c r="AH4" i="19"/>
  <c r="AD4" i="19"/>
  <c r="AL4" i="19"/>
  <c r="AG4" i="19"/>
  <c r="AB4" i="19"/>
  <c r="X4" i="19"/>
  <c r="T4" i="19"/>
  <c r="P4" i="19"/>
  <c r="AJ4" i="19"/>
  <c r="AF4" i="19"/>
  <c r="AK32" i="19"/>
  <c r="AG32" i="19"/>
  <c r="U32" i="19"/>
  <c r="Q32" i="19"/>
  <c r="AM32" i="19"/>
  <c r="AI32" i="19"/>
  <c r="AA32" i="19"/>
  <c r="O32" i="19"/>
  <c r="AJ32" i="19"/>
  <c r="AB32" i="19"/>
  <c r="T32" i="19"/>
  <c r="AH32" i="19"/>
  <c r="Z32" i="19"/>
  <c r="R32" i="19"/>
  <c r="AN32" i="19"/>
  <c r="AF32" i="19"/>
  <c r="X32" i="19"/>
  <c r="P32" i="19"/>
  <c r="AL32" i="19"/>
  <c r="AD32" i="19"/>
  <c r="N32" i="19"/>
  <c r="V32" i="19"/>
  <c r="AL45" i="19"/>
  <c r="AH45" i="19"/>
  <c r="AD45" i="19"/>
  <c r="Z45" i="19"/>
  <c r="V45" i="19"/>
  <c r="R45" i="19"/>
  <c r="N45" i="19"/>
  <c r="AK45" i="19"/>
  <c r="AG45" i="19"/>
  <c r="AC45" i="19"/>
  <c r="Y45" i="19"/>
  <c r="U45" i="19"/>
  <c r="AN45" i="19"/>
  <c r="AJ45" i="19"/>
  <c r="AF45" i="19"/>
  <c r="AB45" i="19"/>
  <c r="X45" i="19"/>
  <c r="T45" i="19"/>
  <c r="P45" i="19"/>
  <c r="AM45" i="19"/>
  <c r="W45" i="19"/>
  <c r="M45" i="19"/>
  <c r="AI45" i="19"/>
  <c r="S45" i="19"/>
  <c r="AE45" i="19"/>
  <c r="Q45" i="19"/>
  <c r="AA45" i="19"/>
  <c r="O45" i="19"/>
  <c r="AL46" i="19"/>
  <c r="AH46" i="19"/>
  <c r="AD46" i="19"/>
  <c r="Z46" i="19"/>
  <c r="V46" i="19"/>
  <c r="R46" i="19"/>
  <c r="N46" i="19"/>
  <c r="AK46" i="19"/>
  <c r="AG46" i="19"/>
  <c r="AC46" i="19"/>
  <c r="Y46" i="19"/>
  <c r="U46" i="19"/>
  <c r="Q46" i="19"/>
  <c r="M46" i="19"/>
  <c r="AN46" i="19"/>
  <c r="AJ46" i="19"/>
  <c r="AF46" i="19"/>
  <c r="AB46" i="19"/>
  <c r="X46" i="19"/>
  <c r="T46" i="19"/>
  <c r="P46" i="19"/>
  <c r="AA46" i="19"/>
  <c r="AM46" i="19"/>
  <c r="W46" i="19"/>
  <c r="AI46" i="19"/>
  <c r="S46" i="19"/>
  <c r="AE46" i="19"/>
  <c r="O46" i="19"/>
  <c r="AN23" i="19"/>
  <c r="AJ23" i="19"/>
  <c r="AF23" i="19"/>
  <c r="AB23" i="19"/>
  <c r="X23" i="19"/>
  <c r="T23" i="19"/>
  <c r="P23" i="19"/>
  <c r="AM23" i="19"/>
  <c r="AI23" i="19"/>
  <c r="AE23" i="19"/>
  <c r="AA23" i="19"/>
  <c r="S23" i="19"/>
  <c r="AL23" i="19"/>
  <c r="AH23" i="19"/>
  <c r="AD23" i="19"/>
  <c r="Z23" i="19"/>
  <c r="V23" i="19"/>
  <c r="R23" i="19"/>
  <c r="N23" i="19"/>
  <c r="AG23" i="19"/>
  <c r="AK23" i="19"/>
  <c r="Z3" i="19"/>
  <c r="J45" i="13"/>
  <c r="J2" i="13"/>
  <c r="J17" i="13"/>
  <c r="J14" i="13"/>
  <c r="J43" i="13"/>
  <c r="J18" i="13"/>
  <c r="J32" i="13"/>
  <c r="J16" i="13"/>
  <c r="J25" i="13"/>
  <c r="J41" i="13"/>
  <c r="J9" i="13"/>
  <c r="J42" i="13"/>
  <c r="J26" i="13"/>
  <c r="J12" i="13"/>
  <c r="J11" i="13"/>
  <c r="J27" i="13"/>
  <c r="J46" i="13"/>
  <c r="J36" i="13"/>
  <c r="J20" i="13"/>
  <c r="J4" i="13"/>
  <c r="J7" i="13"/>
  <c r="J15" i="13"/>
  <c r="J23" i="13"/>
  <c r="J31" i="13"/>
  <c r="J39" i="13"/>
  <c r="J22" i="13"/>
  <c r="J38" i="13"/>
  <c r="J34" i="13"/>
  <c r="J10" i="13"/>
  <c r="J33" i="13"/>
  <c r="J28" i="13"/>
  <c r="J3" i="13"/>
  <c r="J19" i="13"/>
  <c r="J35" i="13"/>
  <c r="J6" i="13"/>
  <c r="J44" i="13"/>
  <c r="J24" i="13"/>
  <c r="J8" i="13"/>
  <c r="J5" i="13"/>
  <c r="J13" i="13"/>
  <c r="J21" i="13"/>
  <c r="J29" i="13"/>
  <c r="J37" i="13"/>
  <c r="J40" i="13"/>
  <c r="J30" i="13"/>
  <c r="O14" i="19"/>
  <c r="O26" i="19"/>
  <c r="AC9" i="19"/>
  <c r="AC36" i="19"/>
  <c r="AA6" i="19"/>
  <c r="Y15" i="19"/>
  <c r="AE20" i="19"/>
  <c r="AC5" i="19"/>
  <c r="AA20" i="19"/>
  <c r="Y21" i="19"/>
  <c r="Y30" i="19"/>
  <c r="Y35" i="19"/>
  <c r="W21" i="19"/>
  <c r="W18" i="19"/>
  <c r="U12" i="19"/>
  <c r="U13" i="19"/>
  <c r="S13" i="19"/>
  <c r="Q13" i="19"/>
  <c r="Q5" i="19"/>
  <c r="O22" i="19"/>
  <c r="M16" i="19"/>
  <c r="M5" i="19"/>
  <c r="AE5" i="19"/>
  <c r="S5" i="19"/>
  <c r="Q12" i="19"/>
  <c r="AC22" i="19"/>
  <c r="AA10" i="19"/>
  <c r="AA36" i="19"/>
  <c r="AE27" i="19"/>
  <c r="AC17" i="19"/>
  <c r="Y5" i="19"/>
  <c r="AC3" i="19"/>
  <c r="Y26" i="19"/>
  <c r="W33" i="19"/>
  <c r="W10" i="19"/>
  <c r="U16" i="19"/>
  <c r="U24" i="19"/>
  <c r="S25" i="19"/>
  <c r="S24" i="19"/>
  <c r="Q9" i="19"/>
  <c r="O15" i="19"/>
  <c r="O19" i="19"/>
  <c r="M10" i="19"/>
  <c r="M14" i="19"/>
  <c r="AC12" i="19"/>
  <c r="AA25" i="19"/>
  <c r="Y36" i="19"/>
  <c r="AE31" i="19"/>
  <c r="W24" i="19"/>
  <c r="S34" i="19"/>
  <c r="O34" i="19"/>
  <c r="M20" i="19"/>
  <c r="AE32" i="19"/>
  <c r="AC16" i="19"/>
  <c r="AC33" i="19"/>
  <c r="AA34" i="19"/>
  <c r="Y12" i="19"/>
  <c r="Y8" i="19"/>
  <c r="AE11" i="19"/>
  <c r="AA3" i="19"/>
  <c r="W32" i="19"/>
  <c r="W25" i="19"/>
  <c r="U14" i="19"/>
  <c r="S15" i="19"/>
  <c r="Q15" i="19"/>
  <c r="Q24" i="19"/>
  <c r="O36" i="19"/>
  <c r="O11" i="19"/>
  <c r="M15" i="19"/>
  <c r="M30" i="19"/>
  <c r="Q8" i="19"/>
  <c r="Q3" i="19"/>
  <c r="M9" i="19"/>
  <c r="M23" i="19"/>
  <c r="Y13" i="19"/>
  <c r="AC20" i="19"/>
  <c r="U15" i="19"/>
  <c r="S33" i="19"/>
  <c r="Q21" i="19"/>
  <c r="O25" i="19"/>
  <c r="AC39" i="19"/>
  <c r="AC21" i="19"/>
  <c r="AC34" i="19"/>
  <c r="AC8" i="19"/>
  <c r="AC32" i="19"/>
  <c r="AA8" i="19"/>
  <c r="Y39" i="19"/>
  <c r="Y32" i="19"/>
  <c r="Y27" i="19"/>
  <c r="W41" i="19"/>
  <c r="U27" i="19"/>
  <c r="U5" i="19"/>
  <c r="U8" i="19"/>
  <c r="U39" i="19"/>
  <c r="U21" i="19"/>
  <c r="S8" i="19"/>
  <c r="S32" i="19"/>
  <c r="Q39" i="19"/>
  <c r="Q34" i="19"/>
  <c r="Q27" i="19"/>
  <c r="AE24" i="19"/>
  <c r="AC24" i="19"/>
  <c r="AA33" i="19"/>
  <c r="AA40" i="19"/>
  <c r="AA16" i="19"/>
  <c r="AA14" i="19"/>
  <c r="Y14" i="19"/>
  <c r="Y16" i="19"/>
  <c r="W40" i="19"/>
  <c r="W6" i="19"/>
  <c r="U6" i="19"/>
  <c r="U40" i="19"/>
  <c r="U33" i="19"/>
  <c r="S16" i="19"/>
  <c r="S14" i="19"/>
  <c r="S6" i="19"/>
  <c r="W15" i="19"/>
  <c r="Q6" i="19"/>
  <c r="Q16" i="19"/>
  <c r="Q14" i="19"/>
  <c r="AE30" i="19"/>
  <c r="AE42" i="19"/>
  <c r="AC42" i="19"/>
  <c r="AC35" i="19"/>
  <c r="AA9" i="19"/>
  <c r="AA28" i="19"/>
  <c r="AA26" i="19"/>
  <c r="W12" i="19"/>
  <c r="U36" i="19"/>
  <c r="S35" i="19"/>
  <c r="S31" i="19"/>
  <c r="S42" i="19"/>
  <c r="Q42" i="19"/>
  <c r="O6" i="19"/>
  <c r="M8" i="19"/>
  <c r="M40" i="19"/>
  <c r="O29" i="19"/>
  <c r="AA43" i="19"/>
  <c r="U19" i="19"/>
  <c r="U38" i="19"/>
  <c r="AC10" i="19"/>
  <c r="W37" i="19"/>
  <c r="AE37" i="19"/>
  <c r="AE29" i="19"/>
  <c r="S3" i="19"/>
  <c r="S37" i="19"/>
  <c r="W29" i="19"/>
  <c r="W20" i="19"/>
  <c r="AA31" i="19"/>
  <c r="AC29" i="19"/>
  <c r="W13" i="19"/>
  <c r="AE14" i="19"/>
  <c r="Q10" i="19"/>
  <c r="W38" i="19"/>
  <c r="U18" i="19"/>
  <c r="AA29" i="19"/>
  <c r="M11" i="19"/>
  <c r="W7" i="19"/>
  <c r="Q22" i="19"/>
  <c r="M17" i="19"/>
  <c r="Q23" i="19"/>
  <c r="Y29" i="19"/>
  <c r="U4" i="19"/>
  <c r="S18" i="19"/>
  <c r="M13" i="19"/>
  <c r="M3" i="19"/>
  <c r="AC25" i="19"/>
  <c r="S4" i="19"/>
  <c r="M24" i="19"/>
  <c r="S28" i="19"/>
  <c r="O4" i="19"/>
  <c r="M34" i="19"/>
  <c r="M6" i="19"/>
  <c r="Q17" i="19"/>
  <c r="AC14" i="19"/>
  <c r="W3" i="19"/>
  <c r="AC38" i="19"/>
  <c r="M19" i="19"/>
  <c r="AE4" i="19"/>
  <c r="Q4" i="19"/>
  <c r="S30" i="19"/>
  <c r="S38" i="19"/>
  <c r="O23" i="19"/>
  <c r="AC19" i="19"/>
  <c r="M38" i="19"/>
  <c r="O21" i="19"/>
  <c r="S29" i="19"/>
  <c r="U43" i="19"/>
  <c r="AE26" i="19"/>
  <c r="Y10" i="19"/>
  <c r="Q35" i="19"/>
  <c r="M29" i="19"/>
  <c r="W22" i="19"/>
  <c r="AA27" i="19"/>
  <c r="W4" i="19"/>
  <c r="U26" i="19"/>
  <c r="AA5" i="19"/>
  <c r="W27" i="19"/>
  <c r="O40" i="19"/>
  <c r="M32" i="19"/>
  <c r="M18" i="19"/>
  <c r="S17" i="19"/>
  <c r="S20" i="19"/>
  <c r="M31" i="19"/>
  <c r="O41" i="19"/>
  <c r="AA4" i="19"/>
  <c r="U23" i="19"/>
  <c r="W26" i="19"/>
  <c r="AE35" i="19"/>
  <c r="Y3" i="19"/>
  <c r="AC4" i="19"/>
  <c r="W23" i="19"/>
  <c r="Y33" i="19"/>
  <c r="Y17" i="19"/>
  <c r="Y43" i="19"/>
  <c r="M26" i="19"/>
  <c r="U3" i="19"/>
  <c r="Y25" i="19"/>
  <c r="AA13" i="19"/>
  <c r="U20" i="19"/>
  <c r="Q31" i="19"/>
  <c r="Y22" i="19"/>
  <c r="S26" i="19"/>
  <c r="Q26" i="19"/>
  <c r="AC11" i="19"/>
  <c r="U17" i="19"/>
  <c r="M27" i="19"/>
  <c r="Y4" i="19"/>
  <c r="Y20" i="19"/>
  <c r="Q29" i="19"/>
  <c r="O8" i="19"/>
  <c r="O28" i="19"/>
  <c r="M39" i="19"/>
  <c r="Q11" i="19"/>
  <c r="O43" i="19"/>
  <c r="S41" i="19"/>
  <c r="U28" i="19"/>
  <c r="M25" i="19"/>
  <c r="Y19" i="19"/>
  <c r="Y28" i="19"/>
  <c r="Q19" i="19"/>
  <c r="Q25" i="19"/>
  <c r="Y31" i="19"/>
  <c r="S10" i="19"/>
  <c r="U31" i="19"/>
  <c r="Q28" i="19"/>
  <c r="AA17" i="19"/>
  <c r="AC43" i="19"/>
  <c r="AC26" i="19"/>
  <c r="AA41" i="19"/>
  <c r="Y18" i="19"/>
  <c r="AC27" i="19"/>
  <c r="U29" i="19"/>
  <c r="O24" i="19"/>
  <c r="U22" i="19"/>
  <c r="O12" i="19"/>
  <c r="AC23" i="19"/>
  <c r="W5" i="19"/>
  <c r="U7" i="19"/>
  <c r="S27" i="19"/>
  <c r="Q20" i="19"/>
  <c r="Q18" i="19"/>
  <c r="Y23" i="19"/>
  <c r="M33" i="19"/>
  <c r="M4" i="19"/>
  <c r="O27" i="19"/>
  <c r="AM49" i="19" l="1"/>
  <c r="AD105" i="21" s="1"/>
  <c r="AK49" i="19"/>
  <c r="AB105" i="21" s="1"/>
  <c r="AL49" i="19"/>
  <c r="AC105" i="21" s="1"/>
  <c r="AN49" i="19"/>
  <c r="AE105" i="21" s="1"/>
  <c r="AI49" i="19"/>
  <c r="Z105" i="21" s="1"/>
  <c r="AG49" i="19"/>
  <c r="X105" i="21" s="1"/>
  <c r="AH49" i="19"/>
  <c r="Y105" i="21" s="1"/>
  <c r="AJ49" i="19"/>
  <c r="AA105" i="21" s="1"/>
  <c r="AC49" i="19"/>
  <c r="T105" i="21" s="1"/>
  <c r="AE49" i="19"/>
  <c r="V105" i="21" s="1"/>
  <c r="AD49" i="19"/>
  <c r="U105" i="21" s="1"/>
  <c r="AF49" i="19"/>
  <c r="W105" i="21" s="1"/>
  <c r="Y49" i="19"/>
  <c r="P105" i="21" s="1"/>
  <c r="Z49" i="19"/>
  <c r="Q105" i="21" s="1"/>
  <c r="AA49" i="19"/>
  <c r="R105" i="21" s="1"/>
  <c r="AB49" i="19"/>
  <c r="S105" i="21" s="1"/>
  <c r="U49" i="19"/>
  <c r="L105" i="21" s="1"/>
  <c r="V49" i="19"/>
  <c r="M105" i="21" s="1"/>
  <c r="W49" i="19"/>
  <c r="N105" i="21" s="1"/>
  <c r="X49" i="19"/>
  <c r="O105" i="21" s="1"/>
  <c r="S49" i="19"/>
  <c r="J105" i="21" s="1"/>
  <c r="T49" i="19"/>
  <c r="K105" i="21" s="1"/>
  <c r="Q49" i="19"/>
  <c r="H105" i="21" s="1"/>
  <c r="R49" i="19"/>
  <c r="I105" i="21" s="1"/>
  <c r="O49" i="19"/>
  <c r="F105" i="21" s="1"/>
  <c r="N49" i="19"/>
  <c r="E105" i="21" s="1"/>
  <c r="O6" i="13"/>
  <c r="M49" i="19"/>
  <c r="D105" i="21" s="1"/>
  <c r="P49" i="19"/>
  <c r="G105" i="21" s="1"/>
  <c r="L37" i="19"/>
  <c r="L7" i="19"/>
  <c r="L30" i="19"/>
  <c r="L11" i="19"/>
  <c r="L4" i="19"/>
  <c r="L20" i="19"/>
  <c r="L33" i="19"/>
  <c r="L47" i="19"/>
  <c r="L16" i="19"/>
  <c r="L29" i="19"/>
  <c r="L44" i="19"/>
  <c r="L46" i="19"/>
  <c r="L42" i="19"/>
  <c r="L8" i="19"/>
  <c r="L45" i="19"/>
  <c r="L21" i="19"/>
  <c r="L22" i="19"/>
  <c r="L18" i="19"/>
  <c r="L24" i="19"/>
  <c r="L36" i="19"/>
  <c r="L41" i="19"/>
  <c r="L31" i="19"/>
  <c r="L5" i="19"/>
  <c r="L28" i="19"/>
  <c r="L25" i="19"/>
  <c r="L39" i="19"/>
  <c r="L35" i="19"/>
  <c r="L9" i="19"/>
  <c r="L17" i="19"/>
  <c r="L12" i="19"/>
  <c r="L27" i="19"/>
  <c r="L15" i="19"/>
  <c r="L32" i="19"/>
  <c r="L40" i="19"/>
  <c r="L13" i="19"/>
  <c r="L10" i="19"/>
  <c r="L38" i="19"/>
  <c r="L26" i="19"/>
  <c r="L19" i="19"/>
  <c r="L34" i="19"/>
  <c r="L6" i="19"/>
  <c r="L43" i="19"/>
  <c r="L3" i="19"/>
  <c r="L14" i="19"/>
  <c r="L23" i="19"/>
  <c r="D106" i="21" l="1"/>
  <c r="F5" i="22"/>
  <c r="G5" i="22" s="1"/>
  <c r="F4" i="22"/>
  <c r="B2" i="22"/>
  <c r="B5" i="22" l="1"/>
  <c r="B9" i="22" s="1"/>
  <c r="D9" i="22"/>
  <c r="G4" i="22"/>
  <c r="F9" i="22"/>
  <c r="G9" i="22" s="1"/>
</calcChain>
</file>

<file path=xl/sharedStrings.xml><?xml version="1.0" encoding="utf-8"?>
<sst xmlns="http://schemas.openxmlformats.org/spreadsheetml/2006/main" count="524" uniqueCount="188">
  <si>
    <t>%</t>
  </si>
  <si>
    <t>Places disponibles en %</t>
  </si>
  <si>
    <t>Places disponibles</t>
  </si>
  <si>
    <t>Cuisine</t>
  </si>
  <si>
    <t>REA</t>
  </si>
  <si>
    <t>NOM</t>
  </si>
  <si>
    <t>PRENOM</t>
  </si>
  <si>
    <t>date entrée</t>
  </si>
  <si>
    <t>Réf</t>
  </si>
  <si>
    <t>F</t>
  </si>
  <si>
    <t>H ou F</t>
  </si>
  <si>
    <t>H</t>
  </si>
  <si>
    <t>Hommes</t>
  </si>
  <si>
    <t>Femmes</t>
  </si>
  <si>
    <t>STATISTIQUES</t>
  </si>
  <si>
    <t>TAI</t>
  </si>
  <si>
    <t>Identifiant</t>
  </si>
  <si>
    <t>ID</t>
  </si>
  <si>
    <t>Niveau 2</t>
  </si>
  <si>
    <t>Niveau 1</t>
  </si>
  <si>
    <t>Rédaction</t>
  </si>
  <si>
    <t>Réception</t>
  </si>
  <si>
    <t>Matin</t>
  </si>
  <si>
    <t>Après-midi</t>
  </si>
  <si>
    <t>Entretien</t>
  </si>
  <si>
    <t>Nom</t>
  </si>
  <si>
    <t>Valeur</t>
  </si>
  <si>
    <t>Intervenant1</t>
  </si>
  <si>
    <t>Intervenant</t>
  </si>
  <si>
    <t>Niveau 3</t>
  </si>
  <si>
    <t>Atelier Services et prestations sociales</t>
  </si>
  <si>
    <t>Secrétariat-réception</t>
  </si>
  <si>
    <t>Animation</t>
  </si>
  <si>
    <t>Atelier Grain de Sel</t>
  </si>
  <si>
    <t xml:space="preserve"> </t>
  </si>
  <si>
    <t>Cafeteria</t>
  </si>
  <si>
    <t>Atelier général</t>
  </si>
  <si>
    <t>Production</t>
  </si>
  <si>
    <t>Taux contractuel</t>
  </si>
  <si>
    <t>Taux réel</t>
  </si>
  <si>
    <t>Total niveau 1 en %</t>
  </si>
  <si>
    <t>Total niveau 2 en %</t>
  </si>
  <si>
    <t>Nom_Prenom</t>
  </si>
  <si>
    <t>zz</t>
  </si>
  <si>
    <t>Prenom</t>
  </si>
  <si>
    <t>Date du lundi</t>
  </si>
  <si>
    <t>No semaine</t>
  </si>
  <si>
    <t>couleur1</t>
  </si>
  <si>
    <t>couleur2</t>
  </si>
  <si>
    <t>couleur3</t>
  </si>
  <si>
    <t>Effectif total</t>
  </si>
  <si>
    <t>Quotas TAI en %</t>
  </si>
  <si>
    <t>Eric</t>
  </si>
  <si>
    <t>Total contractuel</t>
  </si>
  <si>
    <t>Total réel</t>
  </si>
  <si>
    <t>Soir</t>
  </si>
  <si>
    <t>Manuel</t>
  </si>
  <si>
    <t>Midi</t>
  </si>
  <si>
    <t>Horaire</t>
  </si>
  <si>
    <t>horaire1</t>
  </si>
  <si>
    <t>horaire2</t>
  </si>
  <si>
    <t>horaire3</t>
  </si>
  <si>
    <t>horaire4</t>
  </si>
  <si>
    <t>SCH</t>
  </si>
  <si>
    <t>PS</t>
  </si>
  <si>
    <t>FS</t>
  </si>
  <si>
    <t>AW</t>
  </si>
  <si>
    <t>Angéloz</t>
  </si>
  <si>
    <t>Sandrine</t>
  </si>
  <si>
    <t>Banderet</t>
  </si>
  <si>
    <t>Cédric</t>
  </si>
  <si>
    <t>Berger</t>
  </si>
  <si>
    <t>Anne-Laure</t>
  </si>
  <si>
    <t>Bigler</t>
  </si>
  <si>
    <t>Dominique</t>
  </si>
  <si>
    <t>Coulon</t>
  </si>
  <si>
    <t>Olivia</t>
  </si>
  <si>
    <t>Da Silva Ferreira</t>
  </si>
  <si>
    <t>Carlos</t>
  </si>
  <si>
    <t>Dépraz</t>
  </si>
  <si>
    <t>Maud</t>
  </si>
  <si>
    <t>Ducraux</t>
  </si>
  <si>
    <t>Nicolas</t>
  </si>
  <si>
    <t>Hafner</t>
  </si>
  <si>
    <t>Hasani</t>
  </si>
  <si>
    <t>Dzemila</t>
  </si>
  <si>
    <t>Hatt</t>
  </si>
  <si>
    <t>Christian</t>
  </si>
  <si>
    <t>Junod</t>
  </si>
  <si>
    <t>Sophie</t>
  </si>
  <si>
    <t>Kavanagh</t>
  </si>
  <si>
    <t>Daisy</t>
  </si>
  <si>
    <t>Liégeois</t>
  </si>
  <si>
    <t>Lopes (Da Cruz)</t>
  </si>
  <si>
    <t>Martin</t>
  </si>
  <si>
    <t>Marie-Hélène</t>
  </si>
  <si>
    <t>Matos</t>
  </si>
  <si>
    <t>Maria-Célia</t>
  </si>
  <si>
    <t>Mehmedovic</t>
  </si>
  <si>
    <t>Jusuf</t>
  </si>
  <si>
    <t>Mottaz</t>
  </si>
  <si>
    <t>Mickaël</t>
  </si>
  <si>
    <t>Noulette</t>
  </si>
  <si>
    <t>Aurelie</t>
  </si>
  <si>
    <t>Nyedegger</t>
  </si>
  <si>
    <t>Sylvianne</t>
  </si>
  <si>
    <t>Pacaux</t>
  </si>
  <si>
    <t>Emilie</t>
  </si>
  <si>
    <t>Probst</t>
  </si>
  <si>
    <t>Marie-Noëlle</t>
  </si>
  <si>
    <t>Reymond</t>
  </si>
  <si>
    <t>Anne-Line</t>
  </si>
  <si>
    <t>Schenker</t>
  </si>
  <si>
    <t>Yves</t>
  </si>
  <si>
    <t>Sessay</t>
  </si>
  <si>
    <t>Yaya</t>
  </si>
  <si>
    <t>Trinkler</t>
  </si>
  <si>
    <t>Yvonne</t>
  </si>
  <si>
    <t>Emmanuelle</t>
  </si>
  <si>
    <t>Zullo</t>
  </si>
  <si>
    <t>Margharita</t>
  </si>
  <si>
    <t>Chauffeur</t>
  </si>
  <si>
    <t>Emilie_Pacaux</t>
  </si>
  <si>
    <t>Sandrine_Angéloz</t>
  </si>
  <si>
    <t>Maria-Célia_Matos</t>
  </si>
  <si>
    <t>Cédric_Banderet</t>
  </si>
  <si>
    <t>Nicolas_Ducraux</t>
  </si>
  <si>
    <t>Marie-Hélène_Martin</t>
  </si>
  <si>
    <t>Aurelie_Noulette</t>
  </si>
  <si>
    <t>Marie-Noëlle_Probst</t>
  </si>
  <si>
    <t>Carlos_Da Silva Ferreira</t>
  </si>
  <si>
    <t>Maud_Dépraz</t>
  </si>
  <si>
    <t>Dominique_Hafner</t>
  </si>
  <si>
    <t>Dzemila_Hasani</t>
  </si>
  <si>
    <t>Christian_Hatt</t>
  </si>
  <si>
    <t>Yaya_Sessay</t>
  </si>
  <si>
    <t>Daisy_Kavanagh</t>
  </si>
  <si>
    <t>Manuel_Lopes (Da Cruz)</t>
  </si>
  <si>
    <t>Jusuf_Mehmedovic</t>
  </si>
  <si>
    <t>Yvonne_Trinkler</t>
  </si>
  <si>
    <t>Margharita_Zullo</t>
  </si>
  <si>
    <t>Sophie_Junod</t>
  </si>
  <si>
    <t>Mickaël_Mottaz</t>
  </si>
  <si>
    <t>Anne-Line_Reymond</t>
  </si>
  <si>
    <t>Eric_Liégeois</t>
  </si>
  <si>
    <t>Olivia_Coulon</t>
  </si>
  <si>
    <t>Sylvianne_Nyedegger</t>
  </si>
  <si>
    <t>Yves_Schenker</t>
  </si>
  <si>
    <t>Dominique_Bigler</t>
  </si>
  <si>
    <t>Anne-Laure_Berger</t>
  </si>
  <si>
    <t>Planning hebdomadaire d'ateliers des TAI de la Roselière</t>
  </si>
  <si>
    <t>Bersier</t>
  </si>
  <si>
    <t>Buschlen</t>
  </si>
  <si>
    <t>Chareyrat</t>
  </si>
  <si>
    <t>David</t>
  </si>
  <si>
    <t>Franzone</t>
  </si>
  <si>
    <t>Guilgot</t>
  </si>
  <si>
    <t>Marchello</t>
  </si>
  <si>
    <t>Piguet</t>
  </si>
  <si>
    <t>Ravy</t>
  </si>
  <si>
    <t>Rezé</t>
  </si>
  <si>
    <t>Solak</t>
  </si>
  <si>
    <t>Taha</t>
  </si>
  <si>
    <t>Tschann</t>
  </si>
  <si>
    <t>Arwen</t>
  </si>
  <si>
    <t>Mélanie</t>
  </si>
  <si>
    <t>Stephanie</t>
  </si>
  <si>
    <t>Aline</t>
  </si>
  <si>
    <t>Samantha</t>
  </si>
  <si>
    <t>Sylvie</t>
  </si>
  <si>
    <t>Graziella</t>
  </si>
  <si>
    <t>Elodie</t>
  </si>
  <si>
    <t>Philippe</t>
  </si>
  <si>
    <t>Jonathan</t>
  </si>
  <si>
    <t>Selim</t>
  </si>
  <si>
    <t>Arwen_Bersier</t>
  </si>
  <si>
    <t>Graziella_Marchello</t>
  </si>
  <si>
    <t>Selim_Taha</t>
  </si>
  <si>
    <t>Mélanie_Buschlen</t>
  </si>
  <si>
    <t>Sophie_Piguet</t>
  </si>
  <si>
    <t>Elodie_Ravy</t>
  </si>
  <si>
    <t>Jonathan_Solak</t>
  </si>
  <si>
    <t>Aline_David</t>
  </si>
  <si>
    <t>Emmanuelle_Tschann</t>
  </si>
  <si>
    <t>Philippe_Rezé</t>
  </si>
  <si>
    <t>Stephanie_Chareyrat</t>
  </si>
  <si>
    <t>Sylvie_Guilgot</t>
  </si>
  <si>
    <t>Samantha_Franzone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</si>
</sst>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[$-100C]dddd\ d\ mmmm"/>
    <numFmt numFmtId="165" formatCode="0.0"/>
    <numFmt numFmtId="166" formatCode="&quot;Semaine &quot;\ #"/>
    <numFmt numFmtId="167" formatCode="dddd"/>
    <numFmt numFmtId="168" formatCode="d"/>
    <numFmt numFmtId="169" formatCode="yyyy"/>
    <numFmt numFmtId="170" formatCode="dd\ mmm\ yy"/>
    <numFmt numFmtId="171" formatCode="dd\ mmm"/>
    <numFmt numFmtId="172" formatCode="ddd"/>
  </numFmts>
  <fonts count="27" x14ac:knownFonts="1">
    <font>
      <sz val="10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0"/>
      <name val="Trebuchet MS"/>
      <family val="2"/>
    </font>
    <font>
      <sz val="10"/>
      <name val="Trebuchet MS"/>
      <family val="2"/>
    </font>
    <font>
      <b/>
      <sz val="14"/>
      <name val="Trebuchet MS"/>
      <family val="2"/>
    </font>
    <font>
      <sz val="12"/>
      <name val="Trebuchet MS"/>
      <family val="2"/>
    </font>
    <font>
      <b/>
      <sz val="12"/>
      <name val="Trebuchet MS"/>
      <family val="2"/>
    </font>
    <font>
      <sz val="10"/>
      <name val="Verdana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5"/>
      <color theme="3"/>
      <name val="Trebuchet MS"/>
      <family val="2"/>
      <scheme val="minor"/>
    </font>
    <font>
      <sz val="4"/>
      <name val="Verdana"/>
      <family val="2"/>
    </font>
    <font>
      <b/>
      <sz val="7"/>
      <name val="Verdana"/>
      <family val="2"/>
    </font>
    <font>
      <sz val="6"/>
      <name val="Verdana"/>
      <family val="2"/>
    </font>
    <font>
      <sz val="6"/>
      <name val="Trebuchet MS"/>
      <family val="2"/>
    </font>
    <font>
      <b/>
      <sz val="6"/>
      <name val="Trebuchet MS"/>
      <family val="2"/>
    </font>
    <font>
      <b/>
      <sz val="18"/>
      <color theme="3"/>
      <name val="Trebuchet MS"/>
      <family val="2"/>
      <scheme val="major"/>
    </font>
    <font>
      <sz val="10"/>
      <name val="Trebuchet MS"/>
      <family val="2"/>
      <scheme val="minor"/>
    </font>
    <font>
      <b/>
      <sz val="18"/>
      <name val="Trebuchet MS"/>
      <family val="2"/>
      <scheme val="major"/>
    </font>
    <font>
      <b/>
      <sz val="7"/>
      <name val="Trebuchet MS"/>
      <family val="2"/>
    </font>
    <font>
      <b/>
      <sz val="11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1"/>
      <name val="Trebuchet MS"/>
      <family val="2"/>
      <scheme val="minor"/>
    </font>
    <font>
      <b/>
      <sz val="12"/>
      <name val="Trebuchet MS"/>
      <family val="2"/>
      <scheme val="minor"/>
    </font>
    <font>
      <i/>
      <sz val="10"/>
      <name val="Trebuchet MS"/>
      <family val="2"/>
    </font>
    <font>
      <b/>
      <sz val="11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theme="4"/>
      </patternFill>
    </fill>
    <fill>
      <patternFill patternType="solid">
        <fgColor rgb="FFC4D79B"/>
        <bgColor indexed="64"/>
      </patternFill>
    </fill>
    <fill>
      <patternFill patternType="solid">
        <fgColor rgb="FFDAEEF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18" fillId="0" borderId="0"/>
    <xf numFmtId="0" fontId="1" fillId="0" borderId="0"/>
    <xf numFmtId="0" fontId="18" fillId="0" borderId="0"/>
    <xf numFmtId="9" fontId="8" fillId="0" borderId="0" applyFont="0" applyFill="0" applyBorder="0" applyAlignment="0" applyProtection="0"/>
    <xf numFmtId="0" fontId="9" fillId="4" borderId="9" applyNumberFormat="0" applyAlignment="0" applyProtection="0"/>
    <xf numFmtId="0" fontId="10" fillId="6" borderId="0" applyNumberFormat="0" applyBorder="0" applyAlignment="0" applyProtection="0"/>
    <xf numFmtId="0" fontId="11" fillId="0" borderId="10" applyNumberFormat="0" applyFill="0" applyAlignment="0" applyProtection="0"/>
    <xf numFmtId="0" fontId="2" fillId="8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238">
    <xf numFmtId="0" fontId="0" fillId="0" borderId="0" xfId="0"/>
    <xf numFmtId="0" fontId="4" fillId="0" borderId="0" xfId="3" applyFont="1" applyFill="1" applyBorder="1" applyProtection="1"/>
    <xf numFmtId="0" fontId="3" fillId="0" borderId="0" xfId="3" applyFont="1" applyFill="1" applyBorder="1" applyProtection="1"/>
    <xf numFmtId="0" fontId="4" fillId="0" borderId="0" xfId="3" applyFont="1" applyBorder="1" applyProtection="1"/>
    <xf numFmtId="0" fontId="4" fillId="0" borderId="0" xfId="3" applyFont="1" applyBorder="1" applyAlignment="1" applyProtection="1">
      <alignment vertical="center"/>
    </xf>
    <xf numFmtId="0" fontId="4" fillId="3" borderId="2" xfId="3" applyFont="1" applyFill="1" applyBorder="1" applyAlignment="1" applyProtection="1">
      <alignment horizontal="center" vertical="center"/>
    </xf>
    <xf numFmtId="0" fontId="4" fillId="2" borderId="2" xfId="3" applyFont="1" applyFill="1" applyBorder="1" applyAlignment="1" applyProtection="1">
      <alignment horizontal="center" vertical="center"/>
    </xf>
    <xf numFmtId="0" fontId="4" fillId="0" borderId="0" xfId="3" applyFont="1" applyBorder="1" applyAlignment="1" applyProtection="1">
      <alignment horizontal="center" vertical="center"/>
    </xf>
    <xf numFmtId="0" fontId="5" fillId="7" borderId="8" xfId="3" applyNumberFormat="1" applyFont="1" applyFill="1" applyBorder="1" applyAlignment="1">
      <alignment horizontal="center" vertical="center"/>
    </xf>
    <xf numFmtId="0" fontId="5" fillId="7" borderId="8" xfId="3" applyNumberFormat="1" applyFont="1" applyFill="1" applyBorder="1" applyAlignment="1">
      <alignment horizontal="center" vertical="center" wrapText="1"/>
    </xf>
    <xf numFmtId="0" fontId="4" fillId="5" borderId="8" xfId="3" applyNumberFormat="1" applyFont="1" applyFill="1" applyBorder="1" applyAlignment="1">
      <alignment vertical="center"/>
    </xf>
    <xf numFmtId="0" fontId="4" fillId="5" borderId="8" xfId="3" applyNumberFormat="1" applyFont="1" applyFill="1" applyBorder="1" applyAlignment="1">
      <alignment horizontal="center" vertical="center"/>
    </xf>
    <xf numFmtId="0" fontId="11" fillId="0" borderId="10" xfId="7"/>
    <xf numFmtId="0" fontId="2" fillId="8" borderId="0" xfId="8"/>
    <xf numFmtId="0" fontId="10" fillId="6" borderId="0" xfId="6"/>
    <xf numFmtId="0" fontId="12" fillId="0" borderId="0" xfId="3" applyFont="1" applyFill="1"/>
    <xf numFmtId="164" fontId="13" fillId="0" borderId="0" xfId="3" applyNumberFormat="1" applyFont="1" applyFill="1" applyBorder="1" applyAlignment="1">
      <alignment vertical="center"/>
    </xf>
    <xf numFmtId="0" fontId="12" fillId="0" borderId="0" xfId="3" applyFont="1" applyFill="1" applyBorder="1"/>
    <xf numFmtId="0" fontId="14" fillId="0" borderId="0" xfId="3" applyFont="1" applyFill="1"/>
    <xf numFmtId="0" fontId="14" fillId="0" borderId="0" xfId="3" applyFont="1" applyFill="1" applyAlignment="1">
      <alignment horizontal="right" vertical="top"/>
    </xf>
    <xf numFmtId="0" fontId="14" fillId="0" borderId="0" xfId="3" applyFont="1"/>
    <xf numFmtId="0" fontId="12" fillId="0" borderId="0" xfId="3" applyFont="1"/>
    <xf numFmtId="0" fontId="14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/>
    </xf>
    <xf numFmtId="0" fontId="7" fillId="0" borderId="16" xfId="3" applyFont="1" applyFill="1" applyBorder="1" applyAlignment="1">
      <alignment horizontal="center" vertical="center"/>
    </xf>
    <xf numFmtId="0" fontId="7" fillId="0" borderId="27" xfId="3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5" fontId="4" fillId="0" borderId="0" xfId="3" applyNumberFormat="1" applyFont="1" applyBorder="1" applyProtection="1"/>
    <xf numFmtId="0" fontId="21" fillId="0" borderId="2" xfId="0" applyFont="1" applyFill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22" fillId="0" borderId="2" xfId="0" applyFont="1" applyBorder="1" applyAlignment="1">
      <alignment horizontal="center" vertical="center" wrapText="1"/>
    </xf>
    <xf numFmtId="0" fontId="0" fillId="0" borderId="0" xfId="0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22" fillId="0" borderId="0" xfId="0" applyFont="1" applyBorder="1"/>
    <xf numFmtId="0" fontId="0" fillId="0" borderId="2" xfId="0" applyFont="1" applyBorder="1" applyAlignment="1">
      <alignment horizontal="center" vertical="center"/>
    </xf>
    <xf numFmtId="0" fontId="14" fillId="0" borderId="0" xfId="3" applyFont="1" applyFill="1" applyBorder="1"/>
    <xf numFmtId="0" fontId="15" fillId="0" borderId="36" xfId="3" applyFont="1" applyBorder="1" applyAlignment="1"/>
    <xf numFmtId="0" fontId="16" fillId="14" borderId="30" xfId="3" applyFont="1" applyFill="1" applyBorder="1" applyAlignment="1" applyProtection="1">
      <alignment horizontal="center" vertical="center" wrapText="1"/>
    </xf>
    <xf numFmtId="0" fontId="16" fillId="14" borderId="30" xfId="3" applyFont="1" applyFill="1" applyBorder="1" applyAlignment="1" applyProtection="1">
      <alignment horizontal="center" vertical="center" wrapText="1"/>
      <protection locked="0"/>
    </xf>
    <xf numFmtId="0" fontId="16" fillId="14" borderId="18" xfId="3" applyFont="1" applyFill="1" applyBorder="1" applyAlignment="1" applyProtection="1">
      <alignment horizontal="center" vertical="center" wrapText="1"/>
    </xf>
    <xf numFmtId="0" fontId="16" fillId="14" borderId="18" xfId="3" applyFont="1" applyFill="1" applyBorder="1" applyAlignment="1" applyProtection="1">
      <alignment horizontal="center" vertical="center" wrapText="1"/>
      <protection locked="0"/>
    </xf>
    <xf numFmtId="0" fontId="16" fillId="14" borderId="29" xfId="3" applyFont="1" applyFill="1" applyBorder="1" applyAlignment="1" applyProtection="1">
      <alignment horizontal="center" vertical="center" wrapText="1"/>
    </xf>
    <xf numFmtId="0" fontId="16" fillId="14" borderId="29" xfId="3" applyFont="1" applyFill="1" applyBorder="1" applyAlignment="1" applyProtection="1">
      <alignment horizontal="center" vertical="center" wrapText="1"/>
      <protection locked="0"/>
    </xf>
    <xf numFmtId="0" fontId="16" fillId="14" borderId="31" xfId="3" applyFont="1" applyFill="1" applyBorder="1" applyAlignment="1" applyProtection="1">
      <alignment horizontal="center" vertical="center" wrapText="1"/>
    </xf>
    <xf numFmtId="0" fontId="16" fillId="14" borderId="31" xfId="3" applyFont="1" applyFill="1" applyBorder="1" applyAlignment="1" applyProtection="1">
      <alignment horizontal="center" vertical="center" wrapText="1"/>
      <protection locked="0"/>
    </xf>
    <xf numFmtId="0" fontId="16" fillId="14" borderId="24" xfId="3" applyFont="1" applyFill="1" applyBorder="1" applyAlignment="1" applyProtection="1">
      <alignment horizontal="center" vertical="center" wrapText="1"/>
    </xf>
    <xf numFmtId="0" fontId="16" fillId="14" borderId="24" xfId="3" applyFont="1" applyFill="1" applyBorder="1" applyAlignment="1" applyProtection="1">
      <alignment horizontal="center" vertical="center" wrapText="1"/>
      <protection locked="0"/>
    </xf>
    <xf numFmtId="3" fontId="6" fillId="14" borderId="2" xfId="3" applyNumberFormat="1" applyFont="1" applyFill="1" applyBorder="1" applyAlignment="1" applyProtection="1">
      <alignment horizontal="center" vertical="center"/>
    </xf>
    <xf numFmtId="165" fontId="6" fillId="14" borderId="2" xfId="3" applyNumberFormat="1" applyFont="1" applyFill="1" applyBorder="1" applyAlignment="1" applyProtection="1">
      <alignment horizontal="center" vertical="center"/>
    </xf>
    <xf numFmtId="3" fontId="6" fillId="15" borderId="2" xfId="3" applyNumberFormat="1" applyFont="1" applyFill="1" applyBorder="1" applyAlignment="1" applyProtection="1">
      <alignment horizontal="center" vertical="center"/>
    </xf>
    <xf numFmtId="4" fontId="6" fillId="15" borderId="2" xfId="3" applyNumberFormat="1" applyFont="1" applyFill="1" applyBorder="1" applyAlignment="1" applyProtection="1">
      <alignment horizontal="center" vertical="center"/>
    </xf>
    <xf numFmtId="3" fontId="6" fillId="13" borderId="2" xfId="3" applyNumberFormat="1" applyFont="1" applyFill="1" applyBorder="1" applyAlignment="1" applyProtection="1">
      <alignment horizontal="center" vertical="center"/>
    </xf>
    <xf numFmtId="4" fontId="6" fillId="13" borderId="2" xfId="3" applyNumberFormat="1" applyFont="1" applyFill="1" applyBorder="1" applyAlignment="1" applyProtection="1">
      <alignment horizontal="center" vertical="center"/>
    </xf>
    <xf numFmtId="0" fontId="4" fillId="0" borderId="2" xfId="3" applyFont="1" applyFill="1" applyBorder="1" applyAlignment="1">
      <alignment horizontal="center" vertical="center"/>
    </xf>
    <xf numFmtId="0" fontId="7" fillId="0" borderId="2" xfId="3" applyFont="1" applyFill="1" applyBorder="1" applyAlignment="1" applyProtection="1">
      <alignment horizontal="center" vertical="center"/>
    </xf>
    <xf numFmtId="4" fontId="7" fillId="0" borderId="2" xfId="3" applyNumberFormat="1" applyFont="1" applyFill="1" applyBorder="1" applyAlignment="1" applyProtection="1">
      <alignment horizontal="center" vertical="center"/>
    </xf>
    <xf numFmtId="0" fontId="6" fillId="0" borderId="2" xfId="3" applyFont="1" applyFill="1" applyBorder="1" applyAlignment="1" applyProtection="1">
      <alignment horizontal="center" vertical="center"/>
    </xf>
    <xf numFmtId="165" fontId="7" fillId="0" borderId="2" xfId="3" applyNumberFormat="1" applyFont="1" applyFill="1" applyBorder="1" applyAlignment="1" applyProtection="1">
      <alignment horizontal="center" vertical="center"/>
    </xf>
    <xf numFmtId="0" fontId="5" fillId="0" borderId="8" xfId="3" applyNumberFormat="1" applyFont="1" applyFill="1" applyBorder="1" applyAlignment="1" applyProtection="1">
      <alignment horizontal="center" vertical="center" textRotation="90"/>
    </xf>
    <xf numFmtId="165" fontId="5" fillId="0" borderId="2" xfId="3" applyNumberFormat="1" applyFont="1" applyFill="1" applyBorder="1" applyAlignment="1" applyProtection="1">
      <alignment horizontal="center" vertical="center" textRotation="90"/>
    </xf>
    <xf numFmtId="0" fontId="7" fillId="12" borderId="2" xfId="3" applyFont="1" applyFill="1" applyBorder="1" applyAlignment="1" applyProtection="1">
      <alignment horizontal="center" vertical="center"/>
    </xf>
    <xf numFmtId="0" fontId="23" fillId="12" borderId="2" xfId="5" applyFont="1" applyFill="1" applyBorder="1" applyAlignment="1">
      <alignment horizontal="center" vertical="center"/>
    </xf>
    <xf numFmtId="0" fontId="24" fillId="12" borderId="2" xfId="5" applyFont="1" applyFill="1" applyBorder="1" applyAlignment="1">
      <alignment horizontal="center" vertical="center"/>
    </xf>
    <xf numFmtId="0" fontId="23" fillId="9" borderId="2" xfId="5" applyFont="1" applyFill="1" applyBorder="1" applyAlignment="1">
      <alignment horizontal="right" vertical="center"/>
    </xf>
    <xf numFmtId="0" fontId="23" fillId="9" borderId="2" xfId="5" applyFont="1" applyFill="1" applyBorder="1" applyAlignment="1">
      <alignment horizontal="center" vertical="center"/>
    </xf>
    <xf numFmtId="14" fontId="23" fillId="10" borderId="2" xfId="5" applyNumberFormat="1" applyFont="1" applyFill="1" applyBorder="1" applyAlignment="1" applyProtection="1">
      <alignment horizontal="center" vertical="center"/>
      <protection locked="0"/>
    </xf>
    <xf numFmtId="0" fontId="0" fillId="14" borderId="0" xfId="0" applyFill="1"/>
    <xf numFmtId="0" fontId="0" fillId="11" borderId="0" xfId="0" applyFill="1"/>
    <xf numFmtId="0" fontId="0" fillId="13" borderId="0" xfId="0" applyFill="1"/>
    <xf numFmtId="0" fontId="20" fillId="17" borderId="30" xfId="3" applyFont="1" applyFill="1" applyBorder="1" applyAlignment="1" applyProtection="1">
      <alignment horizontal="center" vertical="center" wrapText="1"/>
    </xf>
    <xf numFmtId="0" fontId="20" fillId="17" borderId="30" xfId="3" applyFont="1" applyFill="1" applyBorder="1" applyAlignment="1" applyProtection="1">
      <alignment horizontal="center" vertical="center" wrapText="1"/>
      <protection locked="0"/>
    </xf>
    <xf numFmtId="0" fontId="20" fillId="17" borderId="23" xfId="3" applyFont="1" applyFill="1" applyBorder="1" applyAlignment="1" applyProtection="1">
      <alignment horizontal="center" vertical="center" wrapText="1"/>
    </xf>
    <xf numFmtId="0" fontId="20" fillId="17" borderId="23" xfId="3" applyFont="1" applyFill="1" applyBorder="1" applyAlignment="1" applyProtection="1">
      <alignment horizontal="center" vertical="center" wrapText="1"/>
      <protection locked="0"/>
    </xf>
    <xf numFmtId="0" fontId="20" fillId="17" borderId="18" xfId="3" applyFont="1" applyFill="1" applyBorder="1" applyAlignment="1" applyProtection="1">
      <alignment horizontal="center" vertical="center" wrapText="1"/>
    </xf>
    <xf numFmtId="0" fontId="20" fillId="17" borderId="18" xfId="3" applyFont="1" applyFill="1" applyBorder="1" applyAlignment="1" applyProtection="1">
      <alignment horizontal="center" vertical="center" wrapText="1"/>
      <protection locked="0"/>
    </xf>
    <xf numFmtId="0" fontId="20" fillId="17" borderId="31" xfId="3" applyFont="1" applyFill="1" applyBorder="1" applyAlignment="1" applyProtection="1">
      <alignment horizontal="center" vertical="center" wrapText="1"/>
    </xf>
    <xf numFmtId="0" fontId="20" fillId="17" borderId="31" xfId="3" applyFont="1" applyFill="1" applyBorder="1" applyAlignment="1" applyProtection="1">
      <alignment horizontal="center" vertical="center" wrapText="1"/>
      <protection locked="0"/>
    </xf>
    <xf numFmtId="0" fontId="20" fillId="17" borderId="14" xfId="3" applyFont="1" applyFill="1" applyBorder="1" applyAlignment="1" applyProtection="1">
      <alignment horizontal="center" vertical="center" wrapText="1"/>
    </xf>
    <xf numFmtId="0" fontId="20" fillId="17" borderId="14" xfId="3" applyFont="1" applyFill="1" applyBorder="1" applyAlignment="1" applyProtection="1">
      <alignment horizontal="center" vertical="center" wrapText="1"/>
      <protection locked="0"/>
    </xf>
    <xf numFmtId="0" fontId="20" fillId="18" borderId="30" xfId="3" applyFont="1" applyFill="1" applyBorder="1" applyAlignment="1" applyProtection="1">
      <alignment horizontal="center" vertical="center" wrapText="1"/>
    </xf>
    <xf numFmtId="0" fontId="20" fillId="18" borderId="30" xfId="3" applyFont="1" applyFill="1" applyBorder="1" applyAlignment="1" applyProtection="1">
      <alignment horizontal="center" vertical="center" wrapText="1"/>
      <protection locked="0"/>
    </xf>
    <xf numFmtId="0" fontId="20" fillId="18" borderId="23" xfId="3" applyFont="1" applyFill="1" applyBorder="1" applyAlignment="1" applyProtection="1">
      <alignment horizontal="center" vertical="center" wrapText="1"/>
    </xf>
    <xf numFmtId="0" fontId="20" fillId="18" borderId="23" xfId="3" applyFont="1" applyFill="1" applyBorder="1" applyAlignment="1" applyProtection="1">
      <alignment horizontal="center" vertical="center" wrapText="1"/>
      <protection locked="0"/>
    </xf>
    <xf numFmtId="0" fontId="20" fillId="18" borderId="18" xfId="3" applyFont="1" applyFill="1" applyBorder="1" applyAlignment="1" applyProtection="1">
      <alignment horizontal="center" vertical="center" wrapText="1"/>
    </xf>
    <xf numFmtId="0" fontId="20" fillId="18" borderId="18" xfId="3" applyFont="1" applyFill="1" applyBorder="1" applyAlignment="1" applyProtection="1">
      <alignment horizontal="center" vertical="center" wrapText="1"/>
      <protection locked="0"/>
    </xf>
    <xf numFmtId="0" fontId="20" fillId="18" borderId="14" xfId="3" applyFont="1" applyFill="1" applyBorder="1" applyAlignment="1" applyProtection="1">
      <alignment horizontal="center" vertical="center" wrapText="1"/>
    </xf>
    <xf numFmtId="0" fontId="20" fillId="18" borderId="14" xfId="3" applyFont="1" applyFill="1" applyBorder="1" applyAlignment="1" applyProtection="1">
      <alignment horizontal="center" vertical="center" wrapText="1"/>
      <protection locked="0"/>
    </xf>
    <xf numFmtId="0" fontId="20" fillId="18" borderId="31" xfId="3" applyFont="1" applyFill="1" applyBorder="1" applyAlignment="1" applyProtection="1">
      <alignment horizontal="center" vertical="center" wrapText="1"/>
    </xf>
    <xf numFmtId="0" fontId="20" fillId="18" borderId="31" xfId="3" applyFont="1" applyFill="1" applyBorder="1" applyAlignment="1" applyProtection="1">
      <alignment horizontal="center" vertical="center" wrapText="1"/>
      <protection locked="0"/>
    </xf>
    <xf numFmtId="0" fontId="4" fillId="2" borderId="3" xfId="3" applyFont="1" applyFill="1" applyBorder="1" applyAlignment="1" applyProtection="1">
      <alignment horizontal="center" vertical="center"/>
    </xf>
    <xf numFmtId="0" fontId="25" fillId="14" borderId="33" xfId="3" applyFont="1" applyFill="1" applyBorder="1" applyAlignment="1" applyProtection="1">
      <alignment horizontal="center" vertical="center" wrapText="1"/>
      <protection locked="0"/>
    </xf>
    <xf numFmtId="0" fontId="25" fillId="14" borderId="39" xfId="3" applyFont="1" applyFill="1" applyBorder="1" applyAlignment="1" applyProtection="1">
      <alignment horizontal="center" vertical="center" wrapText="1"/>
      <protection locked="0"/>
    </xf>
    <xf numFmtId="0" fontId="25" fillId="14" borderId="34" xfId="3" applyFont="1" applyFill="1" applyBorder="1" applyAlignment="1" applyProtection="1">
      <alignment horizontal="center" vertical="center" wrapText="1"/>
      <protection locked="0"/>
    </xf>
    <xf numFmtId="0" fontId="25" fillId="17" borderId="33" xfId="3" applyFont="1" applyFill="1" applyBorder="1" applyAlignment="1" applyProtection="1">
      <alignment horizontal="center" vertical="center" wrapText="1"/>
      <protection locked="0"/>
    </xf>
    <xf numFmtId="0" fontId="25" fillId="17" borderId="39" xfId="3" applyFont="1" applyFill="1" applyBorder="1" applyAlignment="1" applyProtection="1">
      <alignment horizontal="center" vertical="center" wrapText="1"/>
      <protection locked="0"/>
    </xf>
    <xf numFmtId="0" fontId="25" fillId="17" borderId="34" xfId="3" applyFont="1" applyFill="1" applyBorder="1" applyAlignment="1" applyProtection="1">
      <alignment horizontal="center" vertical="center" wrapText="1"/>
      <protection locked="0"/>
    </xf>
    <xf numFmtId="0" fontId="25" fillId="17" borderId="40" xfId="3" applyFont="1" applyFill="1" applyBorder="1" applyAlignment="1" applyProtection="1">
      <alignment horizontal="center" vertical="center" wrapText="1"/>
      <protection locked="0"/>
    </xf>
    <xf numFmtId="0" fontId="25" fillId="18" borderId="33" xfId="3" applyFont="1" applyFill="1" applyBorder="1" applyAlignment="1" applyProtection="1">
      <alignment horizontal="center" vertical="center" wrapText="1"/>
      <protection locked="0"/>
    </xf>
    <xf numFmtId="0" fontId="25" fillId="18" borderId="39" xfId="3" applyFont="1" applyFill="1" applyBorder="1" applyAlignment="1" applyProtection="1">
      <alignment horizontal="center" vertical="center" wrapText="1"/>
      <protection locked="0"/>
    </xf>
    <xf numFmtId="0" fontId="25" fillId="18" borderId="34" xfId="3" applyFont="1" applyFill="1" applyBorder="1" applyAlignment="1" applyProtection="1">
      <alignment horizontal="center" vertical="center" wrapText="1"/>
      <protection locked="0"/>
    </xf>
    <xf numFmtId="3" fontId="6" fillId="14" borderId="6" xfId="3" applyNumberFormat="1" applyFont="1" applyFill="1" applyBorder="1" applyAlignment="1" applyProtection="1">
      <alignment horizontal="center" vertical="center"/>
    </xf>
    <xf numFmtId="3" fontId="6" fillId="14" borderId="6" xfId="3" applyNumberFormat="1" applyFont="1" applyFill="1" applyBorder="1" applyAlignment="1" applyProtection="1">
      <alignment horizontal="right" vertical="center"/>
    </xf>
    <xf numFmtId="4" fontId="6" fillId="14" borderId="6" xfId="3" applyNumberFormat="1" applyFont="1" applyFill="1" applyBorder="1" applyAlignment="1" applyProtection="1">
      <alignment horizontal="center" vertical="center"/>
    </xf>
    <xf numFmtId="0" fontId="5" fillId="16" borderId="1" xfId="3" applyNumberFormat="1" applyFont="1" applyFill="1" applyBorder="1" applyAlignment="1" applyProtection="1">
      <alignment horizontal="center" vertical="center" textRotation="90"/>
    </xf>
    <xf numFmtId="4" fontId="6" fillId="14" borderId="2" xfId="3" applyNumberFormat="1" applyFont="1" applyFill="1" applyBorder="1" applyAlignment="1" applyProtection="1">
      <alignment horizontal="center" vertical="center"/>
    </xf>
    <xf numFmtId="0" fontId="4" fillId="2" borderId="3" xfId="3" quotePrefix="1" applyFont="1" applyFill="1" applyBorder="1" applyAlignment="1" applyProtection="1">
      <alignment horizontal="center" vertical="center"/>
    </xf>
    <xf numFmtId="0" fontId="6" fillId="15" borderId="2" xfId="3" applyFont="1" applyFill="1" applyBorder="1" applyAlignment="1" applyProtection="1">
      <alignment horizontal="center" vertical="center"/>
      <protection locked="0"/>
    </xf>
    <xf numFmtId="0" fontId="6" fillId="14" borderId="2" xfId="3" applyFont="1" applyFill="1" applyBorder="1" applyAlignment="1" applyProtection="1">
      <alignment horizontal="center" vertical="center"/>
      <protection locked="0"/>
    </xf>
    <xf numFmtId="0" fontId="6" fillId="14" borderId="2" xfId="3" applyFont="1" applyFill="1" applyBorder="1" applyAlignment="1" applyProtection="1">
      <alignment horizontal="center" vertical="center"/>
    </xf>
    <xf numFmtId="0" fontId="6" fillId="15" borderId="2" xfId="3" applyFont="1" applyFill="1" applyBorder="1" applyAlignment="1" applyProtection="1">
      <alignment horizontal="center" vertical="center"/>
    </xf>
    <xf numFmtId="165" fontId="6" fillId="15" borderId="2" xfId="3" applyNumberFormat="1" applyFont="1" applyFill="1" applyBorder="1" applyAlignment="1" applyProtection="1">
      <alignment horizontal="center" vertical="center"/>
    </xf>
    <xf numFmtId="0" fontId="6" fillId="13" borderId="2" xfId="3" applyFont="1" applyFill="1" applyBorder="1" applyAlignment="1" applyProtection="1">
      <alignment horizontal="center" vertical="center"/>
      <protection locked="0"/>
    </xf>
    <xf numFmtId="0" fontId="6" fillId="13" borderId="2" xfId="3" applyFont="1" applyFill="1" applyBorder="1" applyAlignment="1" applyProtection="1">
      <alignment horizontal="center" vertical="center"/>
    </xf>
    <xf numFmtId="165" fontId="6" fillId="13" borderId="2" xfId="3" applyNumberFormat="1" applyFont="1" applyFill="1" applyBorder="1" applyAlignment="1" applyProtection="1">
      <alignment horizontal="center" vertical="center"/>
    </xf>
    <xf numFmtId="0" fontId="4" fillId="5" borderId="1" xfId="3" applyNumberFormat="1" applyFont="1" applyFill="1" applyBorder="1" applyAlignment="1">
      <alignment vertical="center"/>
    </xf>
    <xf numFmtId="0" fontId="4" fillId="5" borderId="2" xfId="3" applyNumberFormat="1" applyFont="1" applyFill="1" applyBorder="1" applyAlignment="1">
      <alignment vertical="center"/>
    </xf>
    <xf numFmtId="0" fontId="4" fillId="5" borderId="11" xfId="3" applyNumberFormat="1" applyFont="1" applyFill="1" applyBorder="1" applyAlignment="1">
      <alignment vertical="center"/>
    </xf>
    <xf numFmtId="0" fontId="4" fillId="0" borderId="2" xfId="3" applyFont="1" applyBorder="1" applyAlignment="1">
      <alignment horizontal="center" vertical="center" wrapText="1"/>
    </xf>
    <xf numFmtId="0" fontId="4" fillId="3" borderId="2" xfId="3" applyFont="1" applyFill="1" applyBorder="1" applyAlignment="1" applyProtection="1">
      <alignment horizontal="right" vertical="center"/>
    </xf>
    <xf numFmtId="0" fontId="3" fillId="0" borderId="0" xfId="3" applyFont="1" applyBorder="1" applyAlignment="1" applyProtection="1">
      <alignment horizontal="center" vertical="center"/>
    </xf>
    <xf numFmtId="0" fontId="7" fillId="0" borderId="41" xfId="3" applyFont="1" applyFill="1" applyBorder="1" applyAlignment="1">
      <alignment horizontal="center" vertical="center"/>
    </xf>
    <xf numFmtId="0" fontId="16" fillId="14" borderId="42" xfId="3" applyFont="1" applyFill="1" applyBorder="1" applyAlignment="1" applyProtection="1">
      <alignment horizontal="center" vertical="center" wrapText="1"/>
      <protection locked="0"/>
    </xf>
    <xf numFmtId="0" fontId="16" fillId="14" borderId="43" xfId="3" applyFont="1" applyFill="1" applyBorder="1" applyAlignment="1" applyProtection="1">
      <alignment horizontal="center" vertical="center" wrapText="1"/>
      <protection locked="0"/>
    </xf>
    <xf numFmtId="0" fontId="16" fillId="14" borderId="16" xfId="3" applyFont="1" applyFill="1" applyBorder="1" applyAlignment="1" applyProtection="1">
      <alignment horizontal="center" vertical="center" wrapText="1"/>
      <protection locked="0"/>
    </xf>
    <xf numFmtId="0" fontId="16" fillId="14" borderId="44" xfId="3" applyFont="1" applyFill="1" applyBorder="1" applyAlignment="1" applyProtection="1">
      <alignment horizontal="center" vertical="center" wrapText="1"/>
      <protection locked="0"/>
    </xf>
    <xf numFmtId="0" fontId="16" fillId="14" borderId="45" xfId="3" applyFont="1" applyFill="1" applyBorder="1" applyAlignment="1" applyProtection="1">
      <alignment horizontal="center" vertical="center" wrapText="1"/>
      <protection locked="0"/>
    </xf>
    <xf numFmtId="0" fontId="20" fillId="17" borderId="42" xfId="3" applyFont="1" applyFill="1" applyBorder="1" applyAlignment="1" applyProtection="1">
      <alignment horizontal="center" vertical="center" wrapText="1"/>
      <protection locked="0"/>
    </xf>
    <xf numFmtId="0" fontId="20" fillId="17" borderId="20" xfId="3" applyFont="1" applyFill="1" applyBorder="1" applyAlignment="1" applyProtection="1">
      <alignment horizontal="center" vertical="center" wrapText="1"/>
      <protection locked="0"/>
    </xf>
    <xf numFmtId="0" fontId="20" fillId="17" borderId="45" xfId="3" applyFont="1" applyFill="1" applyBorder="1" applyAlignment="1" applyProtection="1">
      <alignment horizontal="center" vertical="center" wrapText="1"/>
      <protection locked="0"/>
    </xf>
    <xf numFmtId="0" fontId="20" fillId="17" borderId="43" xfId="3" applyFont="1" applyFill="1" applyBorder="1" applyAlignment="1" applyProtection="1">
      <alignment horizontal="center" vertical="center" wrapText="1"/>
      <protection locked="0"/>
    </xf>
    <xf numFmtId="0" fontId="20" fillId="17" borderId="46" xfId="3" applyFont="1" applyFill="1" applyBorder="1" applyAlignment="1" applyProtection="1">
      <alignment horizontal="center" vertical="center" wrapText="1"/>
      <protection locked="0"/>
    </xf>
    <xf numFmtId="0" fontId="20" fillId="18" borderId="42" xfId="3" applyFont="1" applyFill="1" applyBorder="1" applyAlignment="1" applyProtection="1">
      <alignment horizontal="center" vertical="center" wrapText="1"/>
      <protection locked="0"/>
    </xf>
    <xf numFmtId="0" fontId="20" fillId="18" borderId="20" xfId="3" applyFont="1" applyFill="1" applyBorder="1" applyAlignment="1" applyProtection="1">
      <alignment horizontal="center" vertical="center" wrapText="1"/>
      <protection locked="0"/>
    </xf>
    <xf numFmtId="0" fontId="20" fillId="18" borderId="45" xfId="3" applyFont="1" applyFill="1" applyBorder="1" applyAlignment="1" applyProtection="1">
      <alignment horizontal="center" vertical="center" wrapText="1"/>
      <protection locked="0"/>
    </xf>
    <xf numFmtId="0" fontId="16" fillId="14" borderId="47" xfId="3" applyFont="1" applyFill="1" applyBorder="1" applyAlignment="1" applyProtection="1">
      <alignment horizontal="center" vertical="center" wrapText="1"/>
    </xf>
    <xf numFmtId="0" fontId="16" fillId="14" borderId="48" xfId="3" applyFont="1" applyFill="1" applyBorder="1" applyAlignment="1" applyProtection="1">
      <alignment horizontal="center" vertical="center" wrapText="1"/>
    </xf>
    <xf numFmtId="0" fontId="16" fillId="14" borderId="41" xfId="3" applyFont="1" applyFill="1" applyBorder="1" applyAlignment="1" applyProtection="1">
      <alignment horizontal="center" vertical="center" wrapText="1"/>
    </xf>
    <xf numFmtId="0" fontId="16" fillId="14" borderId="49" xfId="3" applyFont="1" applyFill="1" applyBorder="1" applyAlignment="1" applyProtection="1">
      <alignment horizontal="center" vertical="center" wrapText="1"/>
    </xf>
    <xf numFmtId="0" fontId="16" fillId="14" borderId="50" xfId="3" applyFont="1" applyFill="1" applyBorder="1" applyAlignment="1" applyProtection="1">
      <alignment horizontal="center" vertical="center" wrapText="1"/>
    </xf>
    <xf numFmtId="0" fontId="20" fillId="17" borderId="47" xfId="3" applyFont="1" applyFill="1" applyBorder="1" applyAlignment="1" applyProtection="1">
      <alignment horizontal="center" vertical="center" wrapText="1"/>
    </xf>
    <xf numFmtId="0" fontId="20" fillId="17" borderId="51" xfId="3" applyFont="1" applyFill="1" applyBorder="1" applyAlignment="1" applyProtection="1">
      <alignment horizontal="center" vertical="center" wrapText="1"/>
    </xf>
    <xf numFmtId="0" fontId="20" fillId="17" borderId="50" xfId="3" applyFont="1" applyFill="1" applyBorder="1" applyAlignment="1" applyProtection="1">
      <alignment horizontal="center" vertical="center" wrapText="1"/>
    </xf>
    <xf numFmtId="0" fontId="20" fillId="17" borderId="48" xfId="3" applyFont="1" applyFill="1" applyBorder="1" applyAlignment="1" applyProtection="1">
      <alignment horizontal="center" vertical="center" wrapText="1"/>
    </xf>
    <xf numFmtId="0" fontId="20" fillId="17" borderId="52" xfId="3" applyFont="1" applyFill="1" applyBorder="1" applyAlignment="1" applyProtection="1">
      <alignment horizontal="center" vertical="center" wrapText="1"/>
    </xf>
    <xf numFmtId="0" fontId="20" fillId="18" borderId="47" xfId="3" applyFont="1" applyFill="1" applyBorder="1" applyAlignment="1" applyProtection="1">
      <alignment horizontal="center" vertical="center" wrapText="1"/>
    </xf>
    <xf numFmtId="0" fontId="20" fillId="18" borderId="51" xfId="3" applyFont="1" applyFill="1" applyBorder="1" applyAlignment="1" applyProtection="1">
      <alignment horizontal="center" vertical="center" wrapText="1"/>
    </xf>
    <xf numFmtId="0" fontId="20" fillId="18" borderId="50" xfId="3" applyFont="1" applyFill="1" applyBorder="1" applyAlignment="1" applyProtection="1">
      <alignment horizontal="center" vertical="center" wrapText="1"/>
    </xf>
    <xf numFmtId="0" fontId="20" fillId="18" borderId="48" xfId="3" applyFont="1" applyFill="1" applyBorder="1" applyAlignment="1" applyProtection="1">
      <alignment horizontal="center" vertical="center" wrapText="1"/>
    </xf>
    <xf numFmtId="0" fontId="20" fillId="18" borderId="52" xfId="3" applyFont="1" applyFill="1" applyBorder="1" applyAlignment="1" applyProtection="1">
      <alignment horizontal="center" vertical="center" wrapText="1"/>
    </xf>
    <xf numFmtId="0" fontId="20" fillId="18" borderId="43" xfId="3" applyFont="1" applyFill="1" applyBorder="1" applyAlignment="1" applyProtection="1">
      <alignment horizontal="center" vertical="center" wrapText="1"/>
      <protection locked="0"/>
    </xf>
    <xf numFmtId="0" fontId="20" fillId="18" borderId="46" xfId="3" applyFont="1" applyFill="1" applyBorder="1" applyAlignment="1" applyProtection="1">
      <alignment horizontal="center" vertical="center" wrapText="1"/>
      <protection locked="0"/>
    </xf>
    <xf numFmtId="0" fontId="20" fillId="18" borderId="22" xfId="3" applyFont="1" applyFill="1" applyBorder="1" applyAlignment="1" applyProtection="1">
      <alignment horizontal="center" vertical="center" wrapText="1"/>
      <protection locked="0"/>
    </xf>
    <xf numFmtId="0" fontId="20" fillId="18" borderId="38" xfId="3" applyFont="1" applyFill="1" applyBorder="1" applyAlignment="1" applyProtection="1">
      <alignment horizontal="center" vertical="center" wrapText="1"/>
      <protection locked="0"/>
    </xf>
    <xf numFmtId="167" fontId="24" fillId="12" borderId="1" xfId="5" applyNumberFormat="1" applyFont="1" applyFill="1" applyBorder="1" applyAlignment="1">
      <alignment horizontal="right" vertical="center"/>
    </xf>
    <xf numFmtId="169" fontId="24" fillId="12" borderId="3" xfId="5" applyNumberFormat="1" applyFont="1" applyFill="1" applyBorder="1" applyAlignment="1">
      <alignment horizontal="left" vertical="center"/>
    </xf>
    <xf numFmtId="168" fontId="24" fillId="12" borderId="11" xfId="5" applyNumberFormat="1" applyFont="1" applyFill="1" applyBorder="1" applyAlignment="1">
      <alignment horizontal="right" vertical="center"/>
    </xf>
    <xf numFmtId="164" fontId="7" fillId="0" borderId="37" xfId="3" applyNumberFormat="1" applyFont="1" applyFill="1" applyBorder="1" applyAlignment="1">
      <alignment vertical="center"/>
    </xf>
    <xf numFmtId="164" fontId="7" fillId="0" borderId="35" xfId="3" applyNumberFormat="1" applyFont="1" applyFill="1" applyBorder="1" applyAlignment="1">
      <alignment vertical="center"/>
    </xf>
    <xf numFmtId="167" fontId="7" fillId="0" borderId="54" xfId="3" applyNumberFormat="1" applyFont="1" applyFill="1" applyBorder="1" applyAlignment="1">
      <alignment vertical="center"/>
    </xf>
    <xf numFmtId="170" fontId="24" fillId="12" borderId="11" xfId="5" applyNumberFormat="1" applyFont="1" applyFill="1" applyBorder="1" applyAlignment="1">
      <alignment horizontal="left" vertical="center"/>
    </xf>
    <xf numFmtId="171" fontId="7" fillId="0" borderId="37" xfId="3" applyNumberFormat="1" applyFont="1" applyFill="1" applyBorder="1" applyAlignment="1">
      <alignment vertical="center"/>
    </xf>
    <xf numFmtId="171" fontId="7" fillId="0" borderId="37" xfId="3" applyNumberFormat="1" applyFont="1" applyFill="1" applyBorder="1" applyAlignment="1">
      <alignment horizontal="left" vertical="center"/>
    </xf>
    <xf numFmtId="0" fontId="26" fillId="0" borderId="53" xfId="3" applyFont="1" applyFill="1" applyBorder="1" applyAlignment="1">
      <alignment horizontal="center" vertical="center" wrapText="1"/>
    </xf>
    <xf numFmtId="172" fontId="7" fillId="0" borderId="0" xfId="3" applyNumberFormat="1" applyFont="1" applyFill="1" applyBorder="1" applyAlignment="1">
      <alignment horizontal="center" vertical="center"/>
    </xf>
    <xf numFmtId="0" fontId="19" fillId="0" borderId="0" xfId="9" applyFont="1" applyFill="1" applyBorder="1" applyAlignment="1">
      <alignment horizontal="center" vertical="center"/>
    </xf>
    <xf numFmtId="0" fontId="7" fillId="0" borderId="17" xfId="3" applyFont="1" applyFill="1" applyBorder="1" applyAlignment="1">
      <alignment horizontal="center" vertical="center"/>
    </xf>
    <xf numFmtId="0" fontId="16" fillId="14" borderId="12" xfId="3" applyFont="1" applyFill="1" applyBorder="1" applyAlignment="1" applyProtection="1">
      <alignment horizontal="center" vertical="center" wrapText="1"/>
      <protection locked="0"/>
    </xf>
    <xf numFmtId="0" fontId="16" fillId="14" borderId="22" xfId="3" applyFont="1" applyFill="1" applyBorder="1" applyAlignment="1" applyProtection="1">
      <alignment horizontal="center" vertical="center" wrapText="1"/>
      <protection locked="0"/>
    </xf>
    <xf numFmtId="0" fontId="16" fillId="14" borderId="17" xfId="3" applyFont="1" applyFill="1" applyBorder="1" applyAlignment="1" applyProtection="1">
      <alignment horizontal="center" vertical="center" wrapText="1"/>
      <protection locked="0"/>
    </xf>
    <xf numFmtId="0" fontId="16" fillId="14" borderId="25" xfId="3" applyFont="1" applyFill="1" applyBorder="1" applyAlignment="1" applyProtection="1">
      <alignment horizontal="center" vertical="center" wrapText="1"/>
      <protection locked="0"/>
    </xf>
    <xf numFmtId="0" fontId="16" fillId="14" borderId="19" xfId="3" applyFont="1" applyFill="1" applyBorder="1" applyAlignment="1" applyProtection="1">
      <alignment horizontal="center" vertical="center" wrapText="1"/>
      <protection locked="0"/>
    </xf>
    <xf numFmtId="0" fontId="20" fillId="17" borderId="12" xfId="3" applyFont="1" applyFill="1" applyBorder="1" applyAlignment="1" applyProtection="1">
      <alignment horizontal="center" vertical="center" wrapText="1"/>
      <protection locked="0"/>
    </xf>
    <xf numFmtId="0" fontId="20" fillId="17" borderId="21" xfId="3" applyFont="1" applyFill="1" applyBorder="1" applyAlignment="1" applyProtection="1">
      <alignment horizontal="center" vertical="center" wrapText="1"/>
      <protection locked="0"/>
    </xf>
    <xf numFmtId="0" fontId="20" fillId="17" borderId="19" xfId="3" applyFont="1" applyFill="1" applyBorder="1" applyAlignment="1" applyProtection="1">
      <alignment horizontal="center" vertical="center" wrapText="1"/>
      <protection locked="0"/>
    </xf>
    <xf numFmtId="0" fontId="20" fillId="17" borderId="22" xfId="3" applyFont="1" applyFill="1" applyBorder="1" applyAlignment="1" applyProtection="1">
      <alignment horizontal="center" vertical="center" wrapText="1"/>
      <protection locked="0"/>
    </xf>
    <xf numFmtId="0" fontId="20" fillId="17" borderId="38" xfId="3" applyFont="1" applyFill="1" applyBorder="1" applyAlignment="1" applyProtection="1">
      <alignment horizontal="center" vertical="center" wrapText="1"/>
      <protection locked="0"/>
    </xf>
    <xf numFmtId="0" fontId="20" fillId="18" borderId="12" xfId="3" applyFont="1" applyFill="1" applyBorder="1" applyAlignment="1" applyProtection="1">
      <alignment horizontal="center" vertical="center" wrapText="1"/>
      <protection locked="0"/>
    </xf>
    <xf numFmtId="0" fontId="20" fillId="18" borderId="21" xfId="3" applyFont="1" applyFill="1" applyBorder="1" applyAlignment="1" applyProtection="1">
      <alignment horizontal="center" vertical="center" wrapText="1"/>
      <protection locked="0"/>
    </xf>
    <xf numFmtId="0" fontId="20" fillId="18" borderId="19" xfId="3" applyFont="1" applyFill="1" applyBorder="1" applyAlignment="1" applyProtection="1">
      <alignment horizontal="center" vertical="center" wrapText="1"/>
      <protection locked="0"/>
    </xf>
    <xf numFmtId="1" fontId="4" fillId="5" borderId="8" xfId="3" applyNumberFormat="1" applyFont="1" applyFill="1" applyBorder="1" applyAlignment="1">
      <alignment vertical="center"/>
    </xf>
    <xf numFmtId="0" fontId="19" fillId="0" borderId="32" xfId="9" applyFont="1" applyFill="1" applyBorder="1" applyAlignment="1">
      <alignment vertical="center"/>
    </xf>
    <xf numFmtId="0" fontId="19" fillId="0" borderId="53" xfId="9" applyFont="1" applyFill="1" applyBorder="1" applyAlignment="1">
      <alignment vertical="center"/>
    </xf>
    <xf numFmtId="0" fontId="19" fillId="0" borderId="53" xfId="9" applyFont="1" applyFill="1" applyBorder="1" applyAlignment="1" applyProtection="1">
      <alignment vertical="center"/>
      <protection locked="0"/>
    </xf>
    <xf numFmtId="14" fontId="4" fillId="5" borderId="8" xfId="3" applyNumberFormat="1" applyFont="1" applyFill="1" applyBorder="1" applyAlignment="1">
      <alignment vertical="center"/>
    </xf>
    <xf numFmtId="0" fontId="25" fillId="14" borderId="40" xfId="3" applyFont="1" applyFill="1" applyBorder="1" applyAlignment="1" applyProtection="1">
      <alignment horizontal="center" vertical="center" wrapText="1"/>
      <protection locked="0"/>
    </xf>
    <xf numFmtId="0" fontId="25" fillId="14" borderId="56" xfId="3" applyFont="1" applyFill="1" applyBorder="1" applyAlignment="1" applyProtection="1">
      <alignment horizontal="center" vertical="center" wrapText="1"/>
      <protection locked="0"/>
    </xf>
    <xf numFmtId="0" fontId="16" fillId="14" borderId="20" xfId="3" applyFont="1" applyFill="1" applyBorder="1" applyAlignment="1" applyProtection="1">
      <alignment horizontal="center" vertical="center" wrapText="1"/>
      <protection locked="0"/>
    </xf>
    <xf numFmtId="0" fontId="16" fillId="14" borderId="23" xfId="3" applyFont="1" applyFill="1" applyBorder="1" applyAlignment="1" applyProtection="1">
      <alignment horizontal="center" vertical="center" wrapText="1"/>
      <protection locked="0"/>
    </xf>
    <xf numFmtId="0" fontId="25" fillId="14" borderId="2" xfId="3" applyFont="1" applyFill="1" applyBorder="1" applyAlignment="1" applyProtection="1">
      <alignment horizontal="center" vertical="center" wrapText="1"/>
      <protection locked="0"/>
    </xf>
    <xf numFmtId="0" fontId="16" fillId="14" borderId="55" xfId="3" applyFont="1" applyFill="1" applyBorder="1" applyAlignment="1" applyProtection="1">
      <alignment horizontal="center" vertical="center" wrapText="1"/>
      <protection locked="0"/>
    </xf>
    <xf numFmtId="0" fontId="16" fillId="14" borderId="57" xfId="3" applyFont="1" applyFill="1" applyBorder="1" applyAlignment="1" applyProtection="1">
      <alignment horizontal="center" vertical="center" wrapText="1"/>
      <protection locked="0"/>
    </xf>
    <xf numFmtId="0" fontId="7" fillId="0" borderId="28" xfId="3" applyFont="1" applyFill="1" applyBorder="1" applyAlignment="1">
      <alignment horizontal="center" vertical="center" wrapText="1"/>
    </xf>
    <xf numFmtId="0" fontId="7" fillId="0" borderId="13" xfId="3" applyFont="1" applyFill="1" applyBorder="1" applyAlignment="1">
      <alignment horizontal="center" vertical="center" wrapText="1"/>
    </xf>
    <xf numFmtId="0" fontId="7" fillId="0" borderId="18" xfId="3" applyFont="1" applyFill="1" applyBorder="1" applyAlignment="1">
      <alignment horizontal="center" vertical="center" wrapText="1"/>
    </xf>
    <xf numFmtId="0" fontId="7" fillId="0" borderId="14" xfId="3" applyFont="1" applyFill="1" applyBorder="1" applyAlignment="1">
      <alignment horizontal="center" vertical="center" wrapText="1"/>
    </xf>
    <xf numFmtId="0" fontId="7" fillId="0" borderId="26" xfId="3" applyFont="1" applyFill="1" applyBorder="1" applyAlignment="1">
      <alignment horizontal="center" vertical="center" wrapText="1"/>
    </xf>
    <xf numFmtId="0" fontId="7" fillId="0" borderId="15" xfId="3" applyFont="1" applyFill="1" applyBorder="1" applyAlignment="1">
      <alignment horizontal="center" vertical="center" wrapText="1"/>
    </xf>
    <xf numFmtId="0" fontId="3" fillId="17" borderId="8" xfId="3" applyFont="1" applyFill="1" applyBorder="1" applyAlignment="1">
      <alignment horizontal="center" vertical="center" wrapText="1"/>
    </xf>
    <xf numFmtId="0" fontId="3" fillId="17" borderId="5" xfId="3" applyFont="1" applyFill="1" applyBorder="1" applyAlignment="1">
      <alignment horizontal="center" vertical="center" wrapText="1"/>
    </xf>
    <xf numFmtId="0" fontId="3" fillId="17" borderId="32" xfId="3" applyFont="1" applyFill="1" applyBorder="1" applyAlignment="1">
      <alignment horizontal="center" vertical="center" wrapText="1"/>
    </xf>
    <xf numFmtId="0" fontId="15" fillId="0" borderId="2" xfId="3" applyFont="1" applyBorder="1" applyAlignment="1">
      <alignment horizontal="center" vertical="center"/>
    </xf>
    <xf numFmtId="0" fontId="4" fillId="0" borderId="1" xfId="3" applyFont="1" applyBorder="1" applyAlignment="1">
      <alignment horizontal="right"/>
    </xf>
    <xf numFmtId="0" fontId="4" fillId="0" borderId="11" xfId="3" applyFont="1" applyBorder="1" applyAlignment="1">
      <alignment horizontal="right"/>
    </xf>
    <xf numFmtId="0" fontId="4" fillId="0" borderId="3" xfId="3" applyFont="1" applyBorder="1" applyAlignment="1">
      <alignment horizontal="right"/>
    </xf>
    <xf numFmtId="0" fontId="3" fillId="14" borderId="8" xfId="3" applyFont="1" applyFill="1" applyBorder="1" applyAlignment="1">
      <alignment horizontal="center" vertical="center" wrapText="1"/>
    </xf>
    <xf numFmtId="0" fontId="3" fillId="14" borderId="5" xfId="3" applyFont="1" applyFill="1" applyBorder="1" applyAlignment="1">
      <alignment horizontal="center" vertical="center" wrapText="1"/>
    </xf>
    <xf numFmtId="0" fontId="3" fillId="14" borderId="32" xfId="3" applyFont="1" applyFill="1" applyBorder="1" applyAlignment="1">
      <alignment horizontal="center" vertical="center" wrapText="1"/>
    </xf>
    <xf numFmtId="0" fontId="3" fillId="14" borderId="6" xfId="3" applyFont="1" applyFill="1" applyBorder="1" applyAlignment="1">
      <alignment horizontal="center" vertical="center" wrapText="1"/>
    </xf>
    <xf numFmtId="0" fontId="3" fillId="14" borderId="4" xfId="3" applyFont="1" applyFill="1" applyBorder="1" applyAlignment="1">
      <alignment horizontal="center" vertical="center" wrapText="1"/>
    </xf>
    <xf numFmtId="0" fontId="3" fillId="14" borderId="7" xfId="3" applyFont="1" applyFill="1" applyBorder="1" applyAlignment="1">
      <alignment horizontal="center" vertical="center" wrapText="1"/>
    </xf>
    <xf numFmtId="0" fontId="3" fillId="18" borderId="8" xfId="3" applyFont="1" applyFill="1" applyBorder="1" applyAlignment="1">
      <alignment horizontal="center" vertical="center" wrapText="1"/>
    </xf>
    <xf numFmtId="0" fontId="3" fillId="18" borderId="5" xfId="3" applyFont="1" applyFill="1" applyBorder="1" applyAlignment="1">
      <alignment horizontal="center" vertical="center" wrapText="1"/>
    </xf>
    <xf numFmtId="0" fontId="3" fillId="18" borderId="32" xfId="3" applyFont="1" applyFill="1" applyBorder="1" applyAlignment="1">
      <alignment horizontal="center" vertical="center" wrapText="1"/>
    </xf>
    <xf numFmtId="0" fontId="3" fillId="14" borderId="6" xfId="3" applyFont="1" applyFill="1" applyBorder="1" applyAlignment="1">
      <alignment horizontal="center" vertical="center" textRotation="90" wrapText="1"/>
    </xf>
    <xf numFmtId="0" fontId="3" fillId="14" borderId="4" xfId="3" applyFont="1" applyFill="1" applyBorder="1" applyAlignment="1">
      <alignment horizontal="center" vertical="center" textRotation="90" wrapText="1"/>
    </xf>
    <xf numFmtId="0" fontId="3" fillId="14" borderId="7" xfId="3" applyFont="1" applyFill="1" applyBorder="1" applyAlignment="1">
      <alignment horizontal="center" vertical="center" textRotation="90" wrapText="1"/>
    </xf>
    <xf numFmtId="166" fontId="23" fillId="12" borderId="1" xfId="5" applyNumberFormat="1" applyFont="1" applyFill="1" applyBorder="1" applyAlignment="1">
      <alignment horizontal="center" vertical="center"/>
    </xf>
    <xf numFmtId="166" fontId="23" fillId="12" borderId="11" xfId="5" applyNumberFormat="1" applyFont="1" applyFill="1" applyBorder="1" applyAlignment="1">
      <alignment horizontal="center" vertical="center"/>
    </xf>
    <xf numFmtId="166" fontId="23" fillId="12" borderId="3" xfId="5" applyNumberFormat="1" applyFont="1" applyFill="1" applyBorder="1" applyAlignment="1">
      <alignment horizontal="center" vertical="center"/>
    </xf>
    <xf numFmtId="3" fontId="6" fillId="13" borderId="6" xfId="3" applyNumberFormat="1" applyFont="1" applyFill="1" applyBorder="1" applyAlignment="1" applyProtection="1">
      <alignment horizontal="right" vertical="center"/>
    </xf>
    <xf numFmtId="3" fontId="6" fillId="13" borderId="7" xfId="3" applyNumberFormat="1" applyFont="1" applyFill="1" applyBorder="1" applyAlignment="1" applyProtection="1">
      <alignment horizontal="right" vertical="center"/>
    </xf>
    <xf numFmtId="4" fontId="6" fillId="13" borderId="6" xfId="3" applyNumberFormat="1" applyFont="1" applyFill="1" applyBorder="1" applyAlignment="1" applyProtection="1">
      <alignment horizontal="center" vertical="center"/>
    </xf>
    <xf numFmtId="4" fontId="6" fillId="13" borderId="7" xfId="3" applyNumberFormat="1" applyFont="1" applyFill="1" applyBorder="1" applyAlignment="1" applyProtection="1">
      <alignment horizontal="center" vertical="center"/>
    </xf>
    <xf numFmtId="3" fontId="6" fillId="14" borderId="6" xfId="3" applyNumberFormat="1" applyFont="1" applyFill="1" applyBorder="1" applyAlignment="1" applyProtection="1">
      <alignment horizontal="center" vertical="center"/>
    </xf>
    <xf numFmtId="3" fontId="6" fillId="14" borderId="4" xfId="3" applyNumberFormat="1" applyFont="1" applyFill="1" applyBorder="1" applyAlignment="1" applyProtection="1">
      <alignment horizontal="center" vertical="center"/>
    </xf>
    <xf numFmtId="3" fontId="6" fillId="14" borderId="7" xfId="3" applyNumberFormat="1" applyFont="1" applyFill="1" applyBorder="1" applyAlignment="1" applyProtection="1">
      <alignment horizontal="center" vertical="center"/>
    </xf>
    <xf numFmtId="3" fontId="6" fillId="15" borderId="6" xfId="3" applyNumberFormat="1" applyFont="1" applyFill="1" applyBorder="1" applyAlignment="1" applyProtection="1">
      <alignment horizontal="right" vertical="center"/>
    </xf>
    <xf numFmtId="3" fontId="6" fillId="15" borderId="7" xfId="3" applyNumberFormat="1" applyFont="1" applyFill="1" applyBorder="1" applyAlignment="1" applyProtection="1">
      <alignment horizontal="right" vertical="center"/>
    </xf>
    <xf numFmtId="4" fontId="6" fillId="15" borderId="6" xfId="3" applyNumberFormat="1" applyFont="1" applyFill="1" applyBorder="1" applyAlignment="1" applyProtection="1">
      <alignment horizontal="center" vertical="center"/>
    </xf>
    <xf numFmtId="4" fontId="6" fillId="15" borderId="7" xfId="3" applyNumberFormat="1" applyFont="1" applyFill="1" applyBorder="1" applyAlignment="1" applyProtection="1">
      <alignment horizontal="center" vertical="center"/>
    </xf>
    <xf numFmtId="4" fontId="6" fillId="14" borderId="6" xfId="3" applyNumberFormat="1" applyFont="1" applyFill="1" applyBorder="1" applyAlignment="1" applyProtection="1">
      <alignment horizontal="center" vertical="center"/>
    </xf>
    <xf numFmtId="4" fontId="6" fillId="14" borderId="4" xfId="3" applyNumberFormat="1" applyFont="1" applyFill="1" applyBorder="1" applyAlignment="1" applyProtection="1">
      <alignment horizontal="center" vertical="center"/>
    </xf>
    <xf numFmtId="4" fontId="6" fillId="14" borderId="7" xfId="3" applyNumberFormat="1" applyFont="1" applyFill="1" applyBorder="1" applyAlignment="1" applyProtection="1">
      <alignment horizontal="center" vertical="center"/>
    </xf>
    <xf numFmtId="0" fontId="4" fillId="2" borderId="1" xfId="3" applyFont="1" applyFill="1" applyBorder="1" applyAlignment="1" applyProtection="1">
      <alignment horizontal="center" vertical="center"/>
    </xf>
    <xf numFmtId="0" fontId="4" fillId="2" borderId="3" xfId="3" applyFont="1" applyFill="1" applyBorder="1" applyAlignment="1" applyProtection="1">
      <alignment horizontal="center" vertical="center"/>
    </xf>
    <xf numFmtId="0" fontId="4" fillId="3" borderId="1" xfId="3" applyFont="1" applyFill="1" applyBorder="1" applyAlignment="1" applyProtection="1">
      <alignment horizontal="left" vertical="center"/>
    </xf>
    <xf numFmtId="0" fontId="4" fillId="3" borderId="3" xfId="3" applyFont="1" applyFill="1" applyBorder="1" applyAlignment="1" applyProtection="1">
      <alignment horizontal="left" vertical="center"/>
    </xf>
  </cellXfs>
  <cellStyles count="10">
    <cellStyle name="20 % - Accent1" xfId="8" builtinId="30"/>
    <cellStyle name="Accent1" xfId="6" builtinId="29"/>
    <cellStyle name="Normal" xfId="0" builtinId="0" customBuiltin="1"/>
    <cellStyle name="Normal 2" xfId="1"/>
    <cellStyle name="Normal 3" xfId="2"/>
    <cellStyle name="Normal 4" xfId="3"/>
    <cellStyle name="Pourcentage 2" xfId="4"/>
    <cellStyle name="Titre" xfId="9" builtinId="15"/>
    <cellStyle name="Titre 1" xfId="7" builtinId="16"/>
    <cellStyle name="Vérification" xfId="5" builtinId="23"/>
  </cellStyles>
  <dxfs count="119">
    <dxf>
      <font>
        <color rgb="FFFF0000"/>
      </font>
    </dxf>
    <dxf>
      <font>
        <color rgb="FFFF0000"/>
      </font>
    </dxf>
    <dxf>
      <font>
        <color theme="5" tint="-0.24994659260841701"/>
      </font>
    </dxf>
    <dxf>
      <font>
        <color theme="2" tint="-0.499984740745262"/>
      </font>
    </dxf>
    <dxf>
      <font>
        <color theme="3" tint="0.39994506668294322"/>
      </font>
    </dxf>
    <dxf>
      <font>
        <color rgb="FF7030A0"/>
      </font>
    </dxf>
    <dxf>
      <font>
        <color rgb="FFFF0000"/>
      </font>
    </dxf>
    <dxf>
      <font>
        <color rgb="FF00B0F0"/>
      </font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ill>
        <patternFill>
          <bgColor rgb="FFDAEEF3"/>
        </patternFill>
      </fill>
    </dxf>
    <dxf>
      <fill>
        <patternFill>
          <bgColor rgb="FFC4D79B"/>
        </patternFill>
      </fill>
    </dxf>
    <dxf>
      <fill>
        <patternFill>
          <bgColor rgb="FFFFCCCC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9" defaultPivotStyle="PivotStyleMedium4"/>
  <colors>
    <mruColors>
      <color rgb="FFC4A4C4"/>
      <color rgb="FFFFCCCC"/>
      <color rgb="FFFFCCFF"/>
      <color rgb="FFF79B4F"/>
      <color rgb="FFFABE8F"/>
      <color rgb="FFFFFF66"/>
      <color rgb="FF00FF00"/>
      <color rgb="FF0099FF"/>
      <color rgb="FFFFFF00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40005</xdr:colOff>
      <xdr:row>15</xdr:row>
      <xdr:rowOff>195126</xdr:rowOff>
    </xdr:from>
    <xdr:to>
      <xdr:col>14</xdr:col>
      <xdr:colOff>815340</xdr:colOff>
      <xdr:row>31</xdr:row>
      <xdr:rowOff>0</xdr:rowOff>
    </xdr:to>
    <xdr:sp macro="" textlink="">
      <xdr:nvSpPr>
        <xdr:cNvPr id="2" name="ZoneTexte 1"/>
        <xdr:cNvSpPr txBox="1"/>
      </xdr:nvSpPr>
      <xdr:spPr>
        <a:xfrm>
          <a:off x="8757285" y="3867966"/>
          <a:ext cx="3769995" cy="3462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La feuille  ci-contre</a:t>
          </a:r>
          <a:r>
            <a:rPr lang="fr-CH" sz="1100" baseline="0"/>
            <a:t> </a:t>
          </a:r>
          <a:r>
            <a:rPr lang="fr-CH" sz="1100"/>
            <a:t>ne peut pas être protégée par un mot de passe, cela affecte le tri automatique.</a:t>
          </a:r>
          <a:endParaRPr lang="fr-CH" sz="1100" baseline="0"/>
        </a:p>
        <a:p>
          <a:endParaRPr lang="fr-CH" sz="1100" baseline="0"/>
        </a:p>
        <a:p>
          <a:r>
            <a:rPr lang="fr-CH" sz="1100" baseline="0"/>
            <a:t>Merci de ne modifier QUE les cellules des colonnes "NOM", "PRENOM", </a:t>
          </a:r>
          <a:r>
            <a:rPr lang="fr-CH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"H ou F", </a:t>
          </a:r>
          <a:r>
            <a:rPr lang="fr-CH" sz="1100" baseline="0"/>
            <a:t>"date entrée", "Réf" et "Taux contractuel", afin d'éviter  des modifications involontaires dans les formules, mise en page, macros, etc. .</a:t>
          </a:r>
        </a:p>
        <a:p>
          <a:endParaRPr lang="fr-CH" sz="1100" baseline="0"/>
        </a:p>
        <a:p>
          <a:r>
            <a:rPr lang="fr-CH" sz="1100" baseline="0"/>
            <a:t>Le tri s'effectue automatiquement dès que l'on ajoute un nouveau nom. C'est cette colonne qui fait référence pour le tri automatique.</a:t>
          </a:r>
        </a:p>
        <a:p>
          <a:endParaRPr lang="fr-CH" sz="1100" baseline="0"/>
        </a:p>
        <a:p>
          <a:r>
            <a:rPr lang="fr-CH" sz="1100" baseline="0"/>
            <a:t>Pour les lignes vides, mettre un "zz" dans la colonne "NOM", afin d'éviter une erreur dans le calcul de la colonne "Taux réel"</a:t>
          </a:r>
          <a:endParaRPr lang="fr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pulent">
      <a:majorFont>
        <a:latin typeface="Trebuchet MS"/>
        <a:ea typeface=""/>
        <a:cs typeface=""/>
        <a:font script="Jpan" typeface="HG丸ｺﾞｼｯｸM-PRO"/>
        <a:font script="Hang" typeface="HY그래픽M"/>
        <a:font script="Hans" typeface="黑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I166"/>
  <sheetViews>
    <sheetView showGridLines="0" showZeros="0" tabSelected="1" showRuler="0" zoomScaleNormal="100" zoomScaleSheetLayoutView="100" workbookViewId="0">
      <pane xSplit="3" ySplit="3" topLeftCell="D4" activePane="bottomRight" state="frozen"/>
      <selection activeCell="V29" sqref="V29"/>
      <selection pane="topRight" activeCell="V29" sqref="V29"/>
      <selection pane="bottomLeft" activeCell="V29" sqref="V29"/>
      <selection pane="bottomRight" activeCell="L95" sqref="L95"/>
    </sheetView>
  </sheetViews>
  <sheetFormatPr baseColWidth="10" defaultColWidth="1.6640625" defaultRowHeight="6.6" x14ac:dyDescent="0.15"/>
  <cols>
    <col min="1" max="3" width="13" style="23" customWidth="1"/>
    <col min="4" max="4" width="15.6640625" style="21" customWidth="1"/>
    <col min="5" max="5" width="15.6640625" style="21" hidden="1" customWidth="1"/>
    <col min="6" max="6" width="15.6640625" style="21" customWidth="1"/>
    <col min="7" max="7" width="15.6640625" style="21" hidden="1" customWidth="1"/>
    <col min="8" max="8" width="15.6640625" style="21" customWidth="1"/>
    <col min="9" max="9" width="14.6640625" style="21" hidden="1" customWidth="1"/>
    <col min="10" max="10" width="15.6640625" style="21" customWidth="1"/>
    <col min="11" max="11" width="14.6640625" style="21" hidden="1" customWidth="1"/>
    <col min="12" max="12" width="15.6640625" style="21" customWidth="1"/>
    <col min="13" max="13" width="14.6640625" style="21" hidden="1" customWidth="1"/>
    <col min="14" max="14" width="15.6640625" style="21" customWidth="1"/>
    <col min="15" max="15" width="14.6640625" style="21" hidden="1" customWidth="1"/>
    <col min="16" max="16" width="15.6640625" style="21" customWidth="1"/>
    <col min="17" max="17" width="14.6640625" style="21" hidden="1" customWidth="1"/>
    <col min="18" max="18" width="15.6640625" style="21" customWidth="1"/>
    <col min="19" max="19" width="14.6640625" style="21" hidden="1" customWidth="1"/>
    <col min="20" max="20" width="15.6640625" style="21" customWidth="1"/>
    <col min="21" max="21" width="14.6640625" style="21" hidden="1" customWidth="1"/>
    <col min="22" max="22" width="15.6640625" style="21" customWidth="1"/>
    <col min="23" max="23" width="14.6640625" style="21" hidden="1" customWidth="1"/>
    <col min="24" max="24" width="15.6640625" style="21" hidden="1" customWidth="1"/>
    <col min="25" max="25" width="14.6640625" style="21" hidden="1" customWidth="1"/>
    <col min="26" max="26" width="15.6640625" style="21" hidden="1" customWidth="1"/>
    <col min="27" max="27" width="14.6640625" style="21" hidden="1" customWidth="1"/>
    <col min="28" max="28" width="15.6640625" style="21" hidden="1" customWidth="1"/>
    <col min="29" max="29" width="14.6640625" style="21" hidden="1" customWidth="1"/>
    <col min="30" max="30" width="15.6640625" style="21" hidden="1" customWidth="1"/>
    <col min="31" max="31" width="14.6640625" style="21" hidden="1" customWidth="1"/>
    <col min="32" max="32" width="1.6640625" style="21" customWidth="1"/>
    <col min="33" max="33" width="1.6640625" style="21"/>
    <col min="34" max="34" width="12.77734375" style="21" hidden="1" customWidth="1"/>
    <col min="35" max="37" width="10.77734375" style="21" hidden="1" customWidth="1"/>
    <col min="38" max="38" width="12.77734375" style="21" hidden="1" customWidth="1"/>
    <col min="39" max="41" width="10.77734375" style="21" hidden="1" customWidth="1"/>
    <col min="42" max="42" width="12.77734375" style="21" hidden="1" customWidth="1"/>
    <col min="43" max="45" width="10.77734375" style="21" hidden="1" customWidth="1"/>
    <col min="46" max="46" width="12.77734375" style="21" hidden="1" customWidth="1"/>
    <col min="47" max="49" width="10.77734375" style="21" hidden="1" customWidth="1"/>
    <col min="50" max="50" width="12.77734375" style="21" hidden="1" customWidth="1"/>
    <col min="51" max="53" width="10.77734375" style="21" hidden="1" customWidth="1"/>
    <col min="54" max="54" width="12.77734375" style="21" hidden="1" customWidth="1"/>
    <col min="55" max="57" width="10.77734375" style="21" hidden="1" customWidth="1"/>
    <col min="58" max="58" width="12.77734375" style="21" hidden="1" customWidth="1"/>
    <col min="59" max="61" width="10.77734375" style="21" hidden="1" customWidth="1"/>
    <col min="62" max="138" width="10.77734375" style="21" customWidth="1"/>
    <col min="139" max="16384" width="1.6640625" style="21"/>
  </cols>
  <sheetData>
    <row r="1" spans="1:61" s="15" customFormat="1" ht="25.95" customHeight="1" x14ac:dyDescent="0.15">
      <c r="A1" s="181"/>
      <c r="B1" s="182"/>
      <c r="C1" s="182"/>
      <c r="D1" s="183" t="s">
        <v>150</v>
      </c>
      <c r="E1" s="182"/>
      <c r="F1" s="182"/>
      <c r="G1" s="182"/>
      <c r="H1" s="182"/>
      <c r="I1" s="182"/>
      <c r="J1" s="182"/>
      <c r="K1" s="182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7"/>
    </row>
    <row r="2" spans="1:61" s="15" customFormat="1" ht="16.95" customHeight="1" x14ac:dyDescent="0.15">
      <c r="A2" s="192" t="s">
        <v>19</v>
      </c>
      <c r="B2" s="194" t="s">
        <v>18</v>
      </c>
      <c r="C2" s="196" t="s">
        <v>29</v>
      </c>
      <c r="D2" s="159">
        <f>'planning beneficiaires'!$C$1</f>
        <v>42744</v>
      </c>
      <c r="E2" s="161"/>
      <c r="F2" s="162">
        <f>'planning beneficiaires'!$C$1</f>
        <v>42744</v>
      </c>
      <c r="G2" s="158"/>
      <c r="H2" s="159">
        <f>'planning beneficiaires'!$C$1+1</f>
        <v>42745</v>
      </c>
      <c r="I2" s="161"/>
      <c r="J2" s="162">
        <f>'planning beneficiaires'!$C$1+1</f>
        <v>42745</v>
      </c>
      <c r="K2" s="157"/>
      <c r="L2" s="159">
        <f>'planning beneficiaires'!$C$1+2</f>
        <v>42746</v>
      </c>
      <c r="M2" s="161"/>
      <c r="N2" s="162">
        <f>'planning beneficiaires'!$C$1+2</f>
        <v>42746</v>
      </c>
      <c r="O2" s="157"/>
      <c r="P2" s="159">
        <f>'planning beneficiaires'!$C$1+3</f>
        <v>42747</v>
      </c>
      <c r="Q2" s="161"/>
      <c r="R2" s="162">
        <f>'planning beneficiaires'!$C$1+3</f>
        <v>42747</v>
      </c>
      <c r="S2" s="157"/>
      <c r="T2" s="159">
        <f>'planning beneficiaires'!$C$1+4</f>
        <v>42748</v>
      </c>
      <c r="U2" s="161"/>
      <c r="V2" s="162">
        <f>'planning beneficiaires'!$C$1+4</f>
        <v>42748</v>
      </c>
      <c r="W2" s="157"/>
      <c r="X2" s="159">
        <f>'planning beneficiaires'!$C$1+5</f>
        <v>42749</v>
      </c>
      <c r="Y2" s="161"/>
      <c r="Z2" s="162">
        <f>'planning beneficiaires'!$C$1+5</f>
        <v>42749</v>
      </c>
      <c r="AA2" s="157"/>
      <c r="AB2" s="159">
        <f>'planning beneficiaires'!$C$1+6</f>
        <v>42750</v>
      </c>
      <c r="AC2" s="161"/>
      <c r="AD2" s="162">
        <f>'planning beneficiaires'!$C$1+6</f>
        <v>42750</v>
      </c>
      <c r="AE2" s="158"/>
      <c r="AF2" s="16"/>
      <c r="AG2" s="16"/>
      <c r="AH2" s="164">
        <f t="shared" ref="AH2:AK2" si="0">$D$2</f>
        <v>42744</v>
      </c>
      <c r="AI2" s="164">
        <f t="shared" si="0"/>
        <v>42744</v>
      </c>
      <c r="AJ2" s="164">
        <f t="shared" si="0"/>
        <v>42744</v>
      </c>
      <c r="AK2" s="164">
        <f t="shared" si="0"/>
        <v>42744</v>
      </c>
      <c r="AL2" s="164">
        <f>$H$2</f>
        <v>42745</v>
      </c>
      <c r="AM2" s="164">
        <f t="shared" ref="AM2:AO2" si="1">$H$2</f>
        <v>42745</v>
      </c>
      <c r="AN2" s="164">
        <f t="shared" si="1"/>
        <v>42745</v>
      </c>
      <c r="AO2" s="164">
        <f t="shared" si="1"/>
        <v>42745</v>
      </c>
      <c r="AP2" s="164">
        <f>$L$2</f>
        <v>42746</v>
      </c>
      <c r="AQ2" s="164">
        <f t="shared" ref="AQ2:AS2" si="2">$L$2</f>
        <v>42746</v>
      </c>
      <c r="AR2" s="164">
        <f t="shared" si="2"/>
        <v>42746</v>
      </c>
      <c r="AS2" s="164">
        <f t="shared" si="2"/>
        <v>42746</v>
      </c>
      <c r="AT2" s="164">
        <f>$P$2</f>
        <v>42747</v>
      </c>
      <c r="AU2" s="164">
        <f t="shared" ref="AU2:AW2" si="3">$P$2</f>
        <v>42747</v>
      </c>
      <c r="AV2" s="164">
        <f t="shared" si="3"/>
        <v>42747</v>
      </c>
      <c r="AW2" s="164">
        <f t="shared" si="3"/>
        <v>42747</v>
      </c>
      <c r="AX2" s="164">
        <f>$T$2</f>
        <v>42748</v>
      </c>
      <c r="AY2" s="164">
        <f t="shared" ref="AY2:BA2" si="4">$T$2</f>
        <v>42748</v>
      </c>
      <c r="AZ2" s="164">
        <f t="shared" si="4"/>
        <v>42748</v>
      </c>
      <c r="BA2" s="164">
        <f t="shared" si="4"/>
        <v>42748</v>
      </c>
      <c r="BB2" s="164">
        <f>$X$2</f>
        <v>42749</v>
      </c>
      <c r="BC2" s="164">
        <f t="shared" ref="BC2:BE2" si="5">$X$2</f>
        <v>42749</v>
      </c>
      <c r="BD2" s="164">
        <f t="shared" si="5"/>
        <v>42749</v>
      </c>
      <c r="BE2" s="164">
        <f t="shared" si="5"/>
        <v>42749</v>
      </c>
      <c r="BF2" s="164">
        <f>$AB$2</f>
        <v>42750</v>
      </c>
      <c r="BG2" s="164">
        <f t="shared" ref="BG2:BI2" si="6">$AB$2</f>
        <v>42750</v>
      </c>
      <c r="BH2" s="164">
        <f t="shared" si="6"/>
        <v>42750</v>
      </c>
      <c r="BI2" s="164">
        <f t="shared" si="6"/>
        <v>42750</v>
      </c>
    </row>
    <row r="3" spans="1:61" s="15" customFormat="1" ht="16.95" customHeight="1" x14ac:dyDescent="0.15">
      <c r="A3" s="193"/>
      <c r="B3" s="195"/>
      <c r="C3" s="197"/>
      <c r="D3" s="24" t="str">
        <f>horaire1</f>
        <v>Matin</v>
      </c>
      <c r="E3" s="25" t="str">
        <f>horaire2</f>
        <v>Midi</v>
      </c>
      <c r="F3" s="121" t="str">
        <f>horaire3</f>
        <v>Après-midi</v>
      </c>
      <c r="G3" s="121" t="str">
        <f>horaire4</f>
        <v>Soir</v>
      </c>
      <c r="H3" s="24" t="str">
        <f>horaire1</f>
        <v>Matin</v>
      </c>
      <c r="I3" s="25" t="str">
        <f>horaire2</f>
        <v>Midi</v>
      </c>
      <c r="J3" s="121" t="str">
        <f>horaire3</f>
        <v>Après-midi</v>
      </c>
      <c r="K3" s="121" t="str">
        <f>horaire4</f>
        <v>Soir</v>
      </c>
      <c r="L3" s="24" t="str">
        <f>horaire1</f>
        <v>Matin</v>
      </c>
      <c r="M3" s="25" t="str">
        <f>horaire2</f>
        <v>Midi</v>
      </c>
      <c r="N3" s="121" t="str">
        <f>horaire3</f>
        <v>Après-midi</v>
      </c>
      <c r="O3" s="121" t="str">
        <f>horaire4</f>
        <v>Soir</v>
      </c>
      <c r="P3" s="24" t="str">
        <f>horaire1</f>
        <v>Matin</v>
      </c>
      <c r="Q3" s="25" t="str">
        <f>horaire2</f>
        <v>Midi</v>
      </c>
      <c r="R3" s="121" t="str">
        <f>horaire3</f>
        <v>Après-midi</v>
      </c>
      <c r="S3" s="121" t="str">
        <f>horaire4</f>
        <v>Soir</v>
      </c>
      <c r="T3" s="24" t="str">
        <f>horaire1</f>
        <v>Matin</v>
      </c>
      <c r="U3" s="25" t="str">
        <f>horaire2</f>
        <v>Midi</v>
      </c>
      <c r="V3" s="121" t="str">
        <f>horaire3</f>
        <v>Après-midi</v>
      </c>
      <c r="W3" s="121" t="str">
        <f>horaire4</f>
        <v>Soir</v>
      </c>
      <c r="X3" s="24" t="str">
        <f>horaire1</f>
        <v>Matin</v>
      </c>
      <c r="Y3" s="25" t="str">
        <f>horaire2</f>
        <v>Midi</v>
      </c>
      <c r="Z3" s="121" t="str">
        <f>horaire3</f>
        <v>Après-midi</v>
      </c>
      <c r="AA3" s="121" t="str">
        <f>horaire4</f>
        <v>Soir</v>
      </c>
      <c r="AB3" s="24" t="str">
        <f>horaire1</f>
        <v>Matin</v>
      </c>
      <c r="AC3" s="25" t="str">
        <f>horaire2</f>
        <v>Midi</v>
      </c>
      <c r="AD3" s="121" t="str">
        <f>horaire3</f>
        <v>Après-midi</v>
      </c>
      <c r="AE3" s="166" t="str">
        <f>horaire4</f>
        <v>Soir</v>
      </c>
      <c r="AF3" s="36"/>
      <c r="AG3" s="19"/>
      <c r="AH3" s="163" t="str">
        <f t="shared" ref="AH3:AK3" si="7">D3</f>
        <v>Matin</v>
      </c>
      <c r="AI3" s="163" t="str">
        <f t="shared" si="7"/>
        <v>Midi</v>
      </c>
      <c r="AJ3" s="163" t="str">
        <f t="shared" si="7"/>
        <v>Après-midi</v>
      </c>
      <c r="AK3" s="163" t="str">
        <f t="shared" si="7"/>
        <v>Soir</v>
      </c>
      <c r="AL3" s="163" t="str">
        <f>H3</f>
        <v>Matin</v>
      </c>
      <c r="AM3" s="163" t="str">
        <f>I3</f>
        <v>Midi</v>
      </c>
      <c r="AN3" s="163" t="str">
        <f>J3</f>
        <v>Après-midi</v>
      </c>
      <c r="AO3" s="163" t="str">
        <f t="shared" ref="AO3" si="8">K3</f>
        <v>Soir</v>
      </c>
      <c r="AP3" s="163" t="str">
        <f>L3</f>
        <v>Matin</v>
      </c>
      <c r="AQ3" s="163" t="str">
        <f>M3</f>
        <v>Midi</v>
      </c>
      <c r="AR3" s="163" t="str">
        <f>N3</f>
        <v>Après-midi</v>
      </c>
      <c r="AS3" s="163" t="str">
        <f t="shared" ref="AS3" si="9">O3</f>
        <v>Soir</v>
      </c>
      <c r="AT3" s="163" t="str">
        <f>P3</f>
        <v>Matin</v>
      </c>
      <c r="AU3" s="163" t="str">
        <f>Q3</f>
        <v>Midi</v>
      </c>
      <c r="AV3" s="163" t="str">
        <f>R3</f>
        <v>Après-midi</v>
      </c>
      <c r="AW3" s="163" t="str">
        <f t="shared" ref="AW3" si="10">S3</f>
        <v>Soir</v>
      </c>
      <c r="AX3" s="163" t="str">
        <f>T3</f>
        <v>Matin</v>
      </c>
      <c r="AY3" s="163" t="str">
        <f>U3</f>
        <v>Midi</v>
      </c>
      <c r="AZ3" s="163" t="str">
        <f>V3</f>
        <v>Après-midi</v>
      </c>
      <c r="BA3" s="163" t="str">
        <f t="shared" ref="BA3" si="11">W3</f>
        <v>Soir</v>
      </c>
      <c r="BB3" s="163" t="str">
        <f>X3</f>
        <v>Matin</v>
      </c>
      <c r="BC3" s="163" t="str">
        <f>Y3</f>
        <v>Midi</v>
      </c>
      <c r="BD3" s="163" t="str">
        <f>Z3</f>
        <v>Après-midi</v>
      </c>
      <c r="BE3" s="163" t="str">
        <f t="shared" ref="BE3" si="12">AA3</f>
        <v>Soir</v>
      </c>
      <c r="BF3" s="163" t="str">
        <f>AB3</f>
        <v>Matin</v>
      </c>
      <c r="BG3" s="163" t="str">
        <f>AC3</f>
        <v>Midi</v>
      </c>
      <c r="BH3" s="163" t="str">
        <f>AD3</f>
        <v>Après-midi</v>
      </c>
      <c r="BI3" s="163" t="str">
        <f t="shared" ref="BI3" si="13">AE3</f>
        <v>Soir</v>
      </c>
    </row>
    <row r="4" spans="1:61" s="15" customFormat="1" ht="18.45" customHeight="1" x14ac:dyDescent="0.15">
      <c r="A4" s="214" t="s">
        <v>30</v>
      </c>
      <c r="B4" s="208" t="s">
        <v>31</v>
      </c>
      <c r="C4" s="91" t="s">
        <v>21</v>
      </c>
      <c r="D4" s="122" t="s">
        <v>122</v>
      </c>
      <c r="E4" s="39"/>
      <c r="F4" s="39" t="s">
        <v>182</v>
      </c>
      <c r="G4" s="39"/>
      <c r="H4" s="122" t="s">
        <v>141</v>
      </c>
      <c r="I4" s="39"/>
      <c r="J4" s="39" t="s">
        <v>141</v>
      </c>
      <c r="K4" s="39"/>
      <c r="L4" s="122" t="s">
        <v>141</v>
      </c>
      <c r="M4" s="39"/>
      <c r="N4" s="39" t="s">
        <v>141</v>
      </c>
      <c r="O4" s="39"/>
      <c r="P4" s="122" t="s">
        <v>141</v>
      </c>
      <c r="Q4" s="39"/>
      <c r="R4" s="39" t="s">
        <v>122</v>
      </c>
      <c r="S4" s="39"/>
      <c r="T4" s="122"/>
      <c r="U4" s="39"/>
      <c r="V4" s="39" t="s">
        <v>147</v>
      </c>
      <c r="W4" s="39"/>
      <c r="X4" s="122"/>
      <c r="Y4" s="39"/>
      <c r="Z4" s="39"/>
      <c r="AA4" s="39"/>
      <c r="AB4" s="122"/>
      <c r="AC4" s="39"/>
      <c r="AD4" s="39"/>
      <c r="AE4" s="167"/>
      <c r="AF4" s="36"/>
      <c r="AG4" s="18"/>
      <c r="AH4" s="38" t="str">
        <f ca="1">IF(COUNTA(D4),OFFSET($C4:D8,0,0,1,1),"")</f>
        <v>Réception</v>
      </c>
      <c r="AI4" s="38" t="str">
        <f ca="1">IF(COUNTA(E4),OFFSET($C4:E8,0,0,1,1),"")</f>
        <v/>
      </c>
      <c r="AJ4" s="135" t="str">
        <f ca="1">IF(COUNTA(F4),OFFSET($C4:F8,0,0,1,1),"")</f>
        <v>Réception</v>
      </c>
      <c r="AK4" s="135" t="str">
        <f ca="1">IF(COUNTA(G4),OFFSET($C4:G8,0,0,1,1),"")</f>
        <v/>
      </c>
      <c r="AL4" s="38" t="str">
        <f ca="1">IF(COUNTA(H4),OFFSET($C4:H8,0,0,1,1),"")</f>
        <v>Réception</v>
      </c>
      <c r="AM4" s="38" t="str">
        <f ca="1">IF(COUNTA(I4),OFFSET($C4:I8,0,0,1,1),"")</f>
        <v/>
      </c>
      <c r="AN4" s="135" t="str">
        <f ca="1">IF(COUNTA(J4),OFFSET($C4:J8,0,0,1,1),"")</f>
        <v>Réception</v>
      </c>
      <c r="AO4" s="135" t="str">
        <f ca="1">IF(COUNTA(K4),OFFSET($C4:K8,0,0,1,1),"")</f>
        <v/>
      </c>
      <c r="AP4" s="38" t="str">
        <f ca="1">IF(COUNTA(L4),OFFSET($C4:L8,0,0,1,1),"")</f>
        <v>Réception</v>
      </c>
      <c r="AQ4" s="38" t="str">
        <f ca="1">IF(COUNTA(M4),OFFSET($C4:M8,0,0,1,1),"")</f>
        <v/>
      </c>
      <c r="AR4" s="135" t="str">
        <f ca="1">IF(COUNTA(N4),OFFSET($C4:N8,0,0,1,1),"")</f>
        <v>Réception</v>
      </c>
      <c r="AS4" s="135" t="str">
        <f ca="1">IF(COUNTA(O4),OFFSET($C4:O8,0,0,1,1),"")</f>
        <v/>
      </c>
      <c r="AT4" s="38" t="str">
        <f ca="1">IF(COUNTA(P4),OFFSET($C4:P8,0,0,1,1),"")</f>
        <v>Réception</v>
      </c>
      <c r="AU4" s="38" t="str">
        <f ca="1">IF(COUNTA(Q4),OFFSET($C4:Q8,0,0,1,1),"")</f>
        <v/>
      </c>
      <c r="AV4" s="135" t="str">
        <f ca="1">IF(COUNTA(R4),OFFSET($C4:R8,0,0,1,1),"")</f>
        <v>Réception</v>
      </c>
      <c r="AW4" s="135" t="str">
        <f ca="1">IF(COUNTA(S4),OFFSET($C4:S8,0,0,1,1),"")</f>
        <v/>
      </c>
      <c r="AX4" s="38" t="str">
        <f ca="1">IF(COUNTA(T4),OFFSET($C4:T8,0,0,1,1),"")</f>
        <v/>
      </c>
      <c r="AY4" s="38" t="str">
        <f ca="1">IF(COUNTA(U4),OFFSET($C4:U8,0,0,1,1),"")</f>
        <v/>
      </c>
      <c r="AZ4" s="135" t="str">
        <f ca="1">IF(COUNTA(V4),OFFSET($C4:V8,0,0,1,1),"")</f>
        <v>Réception</v>
      </c>
      <c r="BA4" s="135" t="str">
        <f ca="1">IF(COUNTA(W4),OFFSET($C4:W8,0,0,1,1),"")</f>
        <v/>
      </c>
      <c r="BB4" s="38" t="str">
        <f ca="1">IF(COUNTA(X4),OFFSET($C4:X8,0,0,1,1),"")</f>
        <v/>
      </c>
      <c r="BC4" s="38" t="str">
        <f ca="1">IF(COUNTA(Y4),OFFSET($C4:Y8,0,0,1,1),"")</f>
        <v/>
      </c>
      <c r="BD4" s="135" t="str">
        <f ca="1">IF(COUNTA(Z4),OFFSET($C4:Z8,0,0,1,1),"")</f>
        <v/>
      </c>
      <c r="BE4" s="135" t="str">
        <f ca="1">IF(COUNTA(AA4),OFFSET($C4:AA8,0,0,1,1),"")</f>
        <v/>
      </c>
      <c r="BF4" s="38" t="str">
        <f ca="1">IF(COUNTA(AB4),OFFSET($C4:AB8,0,0,1,1),"")</f>
        <v/>
      </c>
      <c r="BG4" s="38" t="str">
        <f ca="1">IF(COUNTA(AC4),OFFSET($C4:AC8,0,0,1,1),"")</f>
        <v/>
      </c>
      <c r="BH4" s="135" t="str">
        <f ca="1">IF(COUNTA(AD4),OFFSET($C4:AD8,0,0,1,1),"")</f>
        <v/>
      </c>
      <c r="BI4" s="135" t="str">
        <f ca="1">IF(COUNTA(AE4),OFFSET($C4:AE8,0,0,1,1),"")</f>
        <v/>
      </c>
    </row>
    <row r="5" spans="1:61" s="15" customFormat="1" ht="18.45" customHeight="1" x14ac:dyDescent="0.15">
      <c r="A5" s="215"/>
      <c r="B5" s="209"/>
      <c r="C5" s="92" t="s">
        <v>21</v>
      </c>
      <c r="D5" s="123"/>
      <c r="E5" s="45"/>
      <c r="F5" s="45"/>
      <c r="G5" s="45"/>
      <c r="H5" s="123" t="s">
        <v>122</v>
      </c>
      <c r="I5" s="45"/>
      <c r="J5" s="45" t="s">
        <v>122</v>
      </c>
      <c r="K5" s="45"/>
      <c r="L5" s="123" t="s">
        <v>122</v>
      </c>
      <c r="M5" s="45"/>
      <c r="N5" s="45" t="s">
        <v>182</v>
      </c>
      <c r="O5" s="45"/>
      <c r="P5" s="123" t="s">
        <v>122</v>
      </c>
      <c r="Q5" s="45"/>
      <c r="R5" s="45"/>
      <c r="S5" s="45"/>
      <c r="T5" s="123"/>
      <c r="U5" s="45"/>
      <c r="V5" s="45"/>
      <c r="W5" s="45"/>
      <c r="X5" s="123"/>
      <c r="Y5" s="45"/>
      <c r="Z5" s="45"/>
      <c r="AA5" s="45"/>
      <c r="AB5" s="123"/>
      <c r="AC5" s="45"/>
      <c r="AD5" s="45"/>
      <c r="AE5" s="168"/>
      <c r="AF5" s="36"/>
      <c r="AG5" s="18"/>
      <c r="AH5" s="44" t="str">
        <f ca="1">IF(COUNTA(D5),OFFSET($C5:D9,0,0,1,1),"")</f>
        <v/>
      </c>
      <c r="AI5" s="44" t="str">
        <f ca="1">IF(COUNTA(E5),OFFSET($C5:E9,0,0,1,1),"")</f>
        <v/>
      </c>
      <c r="AJ5" s="136" t="str">
        <f ca="1">IF(COUNTA(F5),OFFSET($C5:F9,0,0,1,1),"")</f>
        <v/>
      </c>
      <c r="AK5" s="136" t="str">
        <f ca="1">IF(COUNTA(G5),OFFSET($C5:G9,0,0,1,1),"")</f>
        <v/>
      </c>
      <c r="AL5" s="44" t="str">
        <f ca="1">IF(COUNTA(H5),OFFSET($C5:H9,0,0,1,1),"")</f>
        <v>Réception</v>
      </c>
      <c r="AM5" s="44" t="str">
        <f ca="1">IF(COUNTA(I5),OFFSET($C5:I9,0,0,1,1),"")</f>
        <v/>
      </c>
      <c r="AN5" s="136" t="str">
        <f ca="1">IF(COUNTA(J5),OFFSET($C5:J9,0,0,1,1),"")</f>
        <v>Réception</v>
      </c>
      <c r="AO5" s="136" t="str">
        <f ca="1">IF(COUNTA(K5),OFFSET($C5:K9,0,0,1,1),"")</f>
        <v/>
      </c>
      <c r="AP5" s="44" t="str">
        <f ca="1">IF(COUNTA(L5),OFFSET($C5:L9,0,0,1,1),"")</f>
        <v>Réception</v>
      </c>
      <c r="AQ5" s="44" t="str">
        <f ca="1">IF(COUNTA(M5),OFFSET($C5:M9,0,0,1,1),"")</f>
        <v/>
      </c>
      <c r="AR5" s="136" t="str">
        <f ca="1">IF(COUNTA(N5),OFFSET($C5:N9,0,0,1,1),"")</f>
        <v>Réception</v>
      </c>
      <c r="AS5" s="136" t="str">
        <f ca="1">IF(COUNTA(O5),OFFSET($C5:O9,0,0,1,1),"")</f>
        <v/>
      </c>
      <c r="AT5" s="44" t="str">
        <f ca="1">IF(COUNTA(P5),OFFSET($C5:P9,0,0,1,1),"")</f>
        <v>Réception</v>
      </c>
      <c r="AU5" s="44" t="str">
        <f ca="1">IF(COUNTA(Q5),OFFSET($C5:Q9,0,0,1,1),"")</f>
        <v/>
      </c>
      <c r="AV5" s="136" t="str">
        <f ca="1">IF(COUNTA(R5),OFFSET($C5:R9,0,0,1,1),"")</f>
        <v/>
      </c>
      <c r="AW5" s="136" t="str">
        <f ca="1">IF(COUNTA(S5),OFFSET($C5:S9,0,0,1,1),"")</f>
        <v/>
      </c>
      <c r="AX5" s="44" t="str">
        <f ca="1">IF(COUNTA(T5),OFFSET($C5:T9,0,0,1,1),"")</f>
        <v/>
      </c>
      <c r="AY5" s="44" t="str">
        <f ca="1">IF(COUNTA(U5),OFFSET($C5:U9,0,0,1,1),"")</f>
        <v/>
      </c>
      <c r="AZ5" s="136" t="str">
        <f ca="1">IF(COUNTA(V5),OFFSET($C5:V9,0,0,1,1),"")</f>
        <v/>
      </c>
      <c r="BA5" s="136" t="str">
        <f ca="1">IF(COUNTA(W5),OFFSET($C5:W9,0,0,1,1),"")</f>
        <v/>
      </c>
      <c r="BB5" s="44" t="str">
        <f ca="1">IF(COUNTA(X5),OFFSET($C5:X9,0,0,1,1),"")</f>
        <v/>
      </c>
      <c r="BC5" s="44" t="str">
        <f ca="1">IF(COUNTA(Y5),OFFSET($C5:Y9,0,0,1,1),"")</f>
        <v/>
      </c>
      <c r="BD5" s="136" t="str">
        <f ca="1">IF(COUNTA(Z5),OFFSET($C5:Z9,0,0,1,1),"")</f>
        <v/>
      </c>
      <c r="BE5" s="136" t="str">
        <f ca="1">IF(COUNTA(AA5),OFFSET($C5:AA9,0,0,1,1),"")</f>
        <v/>
      </c>
      <c r="BF5" s="44" t="str">
        <f ca="1">IF(COUNTA(AB5),OFFSET($C5:AB9,0,0,1,1),"")</f>
        <v/>
      </c>
      <c r="BG5" s="44" t="str">
        <f ca="1">IF(COUNTA(AC5),OFFSET($C5:AC9,0,0,1,1),"")</f>
        <v/>
      </c>
      <c r="BH5" s="136" t="str">
        <f ca="1">IF(COUNTA(AD5),OFFSET($C5:AD9,0,0,1,1),"")</f>
        <v/>
      </c>
      <c r="BI5" s="136" t="str">
        <f ca="1">IF(COUNTA(AE5),OFFSET($C5:AE9,0,0,1,1),"")</f>
        <v/>
      </c>
    </row>
    <row r="6" spans="1:61" s="15" customFormat="1" ht="18.45" customHeight="1" x14ac:dyDescent="0.15">
      <c r="A6" s="215"/>
      <c r="B6" s="209"/>
      <c r="C6" s="185" t="s">
        <v>21</v>
      </c>
      <c r="D6" s="125"/>
      <c r="E6" s="47"/>
      <c r="F6" s="47"/>
      <c r="G6" s="47"/>
      <c r="H6" s="125"/>
      <c r="I6" s="47"/>
      <c r="J6" s="47"/>
      <c r="K6" s="47"/>
      <c r="L6" s="125"/>
      <c r="M6" s="47"/>
      <c r="N6" s="47"/>
      <c r="O6" s="47"/>
      <c r="P6" s="125"/>
      <c r="Q6" s="47"/>
      <c r="R6" s="47"/>
      <c r="S6" s="47"/>
      <c r="T6" s="125"/>
      <c r="U6" s="47"/>
      <c r="V6" s="47"/>
      <c r="W6" s="45"/>
      <c r="X6" s="123"/>
      <c r="Y6" s="45"/>
      <c r="Z6" s="45"/>
      <c r="AA6" s="45"/>
      <c r="AB6" s="123"/>
      <c r="AC6" s="45"/>
      <c r="AD6" s="45"/>
      <c r="AE6" s="168"/>
      <c r="AF6" s="36"/>
      <c r="AG6" s="18"/>
      <c r="AH6" s="44" t="str">
        <f ca="1">IF(COUNTA(D6),OFFSET($C6:D9,0,0,1,1),"")</f>
        <v/>
      </c>
      <c r="AI6" s="44" t="str">
        <f ca="1">IF(COUNTA(E6),OFFSET($C6:E9,0,0,1,1),"")</f>
        <v/>
      </c>
      <c r="AJ6" s="136" t="str">
        <f ca="1">IF(COUNTA(F6),OFFSET($C6:F9,0,0,1,1),"")</f>
        <v/>
      </c>
      <c r="AK6" s="136" t="str">
        <f ca="1">IF(COUNTA(G6),OFFSET($C6:G9,0,0,1,1),"")</f>
        <v/>
      </c>
      <c r="AL6" s="44" t="str">
        <f ca="1">IF(COUNTA(H6),OFFSET($C6:H9,0,0,1,1),"")</f>
        <v/>
      </c>
      <c r="AM6" s="44" t="str">
        <f ca="1">IF(COUNTA(I6),OFFSET($C6:I9,0,0,1,1),"")</f>
        <v/>
      </c>
      <c r="AN6" s="136" t="str">
        <f ca="1">IF(COUNTA(J6),OFFSET($C6:J9,0,0,1,1),"")</f>
        <v/>
      </c>
      <c r="AO6" s="136" t="str">
        <f ca="1">IF(COUNTA(K6),OFFSET($C6:K9,0,0,1,1),"")</f>
        <v/>
      </c>
      <c r="AP6" s="44" t="str">
        <f ca="1">IF(COUNTA(L6),OFFSET($C6:L9,0,0,1,1),"")</f>
        <v/>
      </c>
      <c r="AQ6" s="44" t="str">
        <f ca="1">IF(COUNTA(M6),OFFSET($C6:M9,0,0,1,1),"")</f>
        <v/>
      </c>
      <c r="AR6" s="136" t="str">
        <f ca="1">IF(COUNTA(N6),OFFSET($C6:N9,0,0,1,1),"")</f>
        <v/>
      </c>
      <c r="AS6" s="136" t="str">
        <f ca="1">IF(COUNTA(O6),OFFSET($C6:O9,0,0,1,1),"")</f>
        <v/>
      </c>
      <c r="AT6" s="44" t="str">
        <f ca="1">IF(COUNTA(P6),OFFSET($C6:P9,0,0,1,1),"")</f>
        <v/>
      </c>
      <c r="AU6" s="44" t="str">
        <f ca="1">IF(COUNTA(Q6),OFFSET($C6:Q9,0,0,1,1),"")</f>
        <v/>
      </c>
      <c r="AV6" s="136" t="str">
        <f ca="1">IF(COUNTA(R6),OFFSET($C6:R9,0,0,1,1),"")</f>
        <v/>
      </c>
      <c r="AW6" s="136" t="str">
        <f ca="1">IF(COUNTA(S6),OFFSET($C6:S9,0,0,1,1),"")</f>
        <v/>
      </c>
      <c r="AX6" s="44" t="str">
        <f ca="1">IF(COUNTA(T6),OFFSET($C6:T9,0,0,1,1),"")</f>
        <v/>
      </c>
      <c r="AY6" s="44" t="str">
        <f ca="1">IF(COUNTA(U6),OFFSET($C6:U9,0,0,1,1),"")</f>
        <v/>
      </c>
      <c r="AZ6" s="136" t="str">
        <f ca="1">IF(COUNTA(V6),OFFSET($C6:V9,0,0,1,1),"")</f>
        <v/>
      </c>
      <c r="BA6" s="136" t="str">
        <f ca="1">IF(COUNTA(W6),OFFSET($C6:W9,0,0,1,1),"")</f>
        <v/>
      </c>
      <c r="BB6" s="44" t="str">
        <f ca="1">IF(COUNTA(X6),OFFSET($C6:X9,0,0,1,1),"")</f>
        <v/>
      </c>
      <c r="BC6" s="44" t="str">
        <f ca="1">IF(COUNTA(Y6),OFFSET($C6:Y9,0,0,1,1),"")</f>
        <v/>
      </c>
      <c r="BD6" s="136" t="str">
        <f ca="1">IF(COUNTA(Z6),OFFSET($C6:Z9,0,0,1,1),"")</f>
        <v/>
      </c>
      <c r="BE6" s="136" t="str">
        <f ca="1">IF(COUNTA(AA6),OFFSET($C6:AA9,0,0,1,1),"")</f>
        <v/>
      </c>
      <c r="BF6" s="44" t="str">
        <f ca="1">IF(COUNTA(AB6),OFFSET($C6:AB9,0,0,1,1),"")</f>
        <v/>
      </c>
      <c r="BG6" s="44" t="str">
        <f ca="1">IF(COUNTA(AC6),OFFSET($C6:AC9,0,0,1,1),"")</f>
        <v/>
      </c>
      <c r="BH6" s="136" t="str">
        <f ca="1">IF(COUNTA(AD6),OFFSET($C6:AD9,0,0,1,1),"")</f>
        <v/>
      </c>
      <c r="BI6" s="136" t="str">
        <f ca="1">IF(COUNTA(AE6),OFFSET($C6:AE9,0,0,1,1),"")</f>
        <v/>
      </c>
    </row>
    <row r="7" spans="1:61" s="15" customFormat="1" ht="18.45" customHeight="1" x14ac:dyDescent="0.15">
      <c r="A7" s="215"/>
      <c r="B7" s="209"/>
      <c r="C7" s="189" t="s">
        <v>121</v>
      </c>
      <c r="D7" s="190"/>
      <c r="E7" s="191"/>
      <c r="F7" s="191" t="s">
        <v>142</v>
      </c>
      <c r="G7" s="191"/>
      <c r="H7" s="190" t="s">
        <v>142</v>
      </c>
      <c r="I7" s="191"/>
      <c r="J7" s="191" t="s">
        <v>142</v>
      </c>
      <c r="K7" s="191"/>
      <c r="L7" s="190"/>
      <c r="M7" s="191"/>
      <c r="N7" s="191"/>
      <c r="O7" s="191"/>
      <c r="P7" s="190"/>
      <c r="Q7" s="191"/>
      <c r="R7" s="191" t="s">
        <v>142</v>
      </c>
      <c r="S7" s="191"/>
      <c r="T7" s="190"/>
      <c r="U7" s="191"/>
      <c r="V7" s="191"/>
      <c r="W7" s="45"/>
      <c r="X7" s="123"/>
      <c r="Y7" s="45"/>
      <c r="Z7" s="45"/>
      <c r="AA7" s="45"/>
      <c r="AB7" s="123"/>
      <c r="AC7" s="45"/>
      <c r="AD7" s="45"/>
      <c r="AE7" s="168"/>
      <c r="AF7" s="36"/>
      <c r="AG7" s="18"/>
      <c r="AH7" s="44" t="str">
        <f ca="1">IF(COUNTA(D7),OFFSET($C7:D10,0,0,1,1),"")</f>
        <v/>
      </c>
      <c r="AI7" s="44" t="str">
        <f ca="1">IF(COUNTA(E7),OFFSET($C7:E10,0,0,1,1),"")</f>
        <v/>
      </c>
      <c r="AJ7" s="136" t="str">
        <f ca="1">IF(COUNTA(F7),OFFSET($C7:F10,0,0,1,1),"")</f>
        <v>Chauffeur</v>
      </c>
      <c r="AK7" s="136" t="str">
        <f ca="1">IF(COUNTA(G7),OFFSET($C7:G10,0,0,1,1),"")</f>
        <v/>
      </c>
      <c r="AL7" s="44" t="str">
        <f ca="1">IF(COUNTA(H7),OFFSET($C7:H10,0,0,1,1),"")</f>
        <v>Chauffeur</v>
      </c>
      <c r="AM7" s="44" t="str">
        <f ca="1">IF(COUNTA(I7),OFFSET($C7:I10,0,0,1,1),"")</f>
        <v/>
      </c>
      <c r="AN7" s="136" t="str">
        <f ca="1">IF(COUNTA(J7),OFFSET($C7:J10,0,0,1,1),"")</f>
        <v>Chauffeur</v>
      </c>
      <c r="AO7" s="136" t="str">
        <f ca="1">IF(COUNTA(K7),OFFSET($C7:K10,0,0,1,1),"")</f>
        <v/>
      </c>
      <c r="AP7" s="44" t="str">
        <f ca="1">IF(COUNTA(L7),OFFSET($C7:L10,0,0,1,1),"")</f>
        <v/>
      </c>
      <c r="AQ7" s="44" t="str">
        <f ca="1">IF(COUNTA(M7),OFFSET($C7:M10,0,0,1,1),"")</f>
        <v/>
      </c>
      <c r="AR7" s="136" t="str">
        <f ca="1">IF(COUNTA(N7),OFFSET($C7:N10,0,0,1,1),"")</f>
        <v/>
      </c>
      <c r="AS7" s="136" t="str">
        <f ca="1">IF(COUNTA(O7),OFFSET($C7:O10,0,0,1,1),"")</f>
        <v/>
      </c>
      <c r="AT7" s="44" t="str">
        <f ca="1">IF(COUNTA(P7),OFFSET($C7:P10,0,0,1,1),"")</f>
        <v/>
      </c>
      <c r="AU7" s="44" t="str">
        <f ca="1">IF(COUNTA(Q7),OFFSET($C7:Q10,0,0,1,1),"")</f>
        <v/>
      </c>
      <c r="AV7" s="136" t="str">
        <f ca="1">IF(COUNTA(R7),OFFSET($C7:R10,0,0,1,1),"")</f>
        <v>Chauffeur</v>
      </c>
      <c r="AW7" s="136" t="str">
        <f ca="1">IF(COUNTA(S7),OFFSET($C7:S10,0,0,1,1),"")</f>
        <v/>
      </c>
      <c r="AX7" s="44" t="str">
        <f ca="1">IF(COUNTA(T7),OFFSET($C7:T10,0,0,1,1),"")</f>
        <v/>
      </c>
      <c r="AY7" s="44" t="str">
        <f ca="1">IF(COUNTA(U7),OFFSET($C7:U10,0,0,1,1),"")</f>
        <v/>
      </c>
      <c r="AZ7" s="136" t="str">
        <f ca="1">IF(COUNTA(V7),OFFSET($C7:V10,0,0,1,1),"")</f>
        <v/>
      </c>
      <c r="BA7" s="136" t="str">
        <f ca="1">IF(COUNTA(W7),OFFSET($C7:W10,0,0,1,1),"")</f>
        <v/>
      </c>
      <c r="BB7" s="44" t="str">
        <f ca="1">IF(COUNTA(X7),OFFSET($C7:X10,0,0,1,1),"")</f>
        <v/>
      </c>
      <c r="BC7" s="44" t="str">
        <f ca="1">IF(COUNTA(Y7),OFFSET($C7:Y10,0,0,1,1),"")</f>
        <v/>
      </c>
      <c r="BD7" s="136" t="str">
        <f ca="1">IF(COUNTA(Z7),OFFSET($C7:Z10,0,0,1,1),"")</f>
        <v/>
      </c>
      <c r="BE7" s="136" t="str">
        <f ca="1">IF(COUNTA(AA7),OFFSET($C7:AA10,0,0,1,1),"")</f>
        <v/>
      </c>
      <c r="BF7" s="44" t="str">
        <f ca="1">IF(COUNTA(AB7),OFFSET($C7:AB10,0,0,1,1),"")</f>
        <v/>
      </c>
      <c r="BG7" s="44" t="str">
        <f ca="1">IF(COUNTA(AC7),OFFSET($C7:AC10,0,0,1,1),"")</f>
        <v/>
      </c>
      <c r="BH7" s="136" t="str">
        <f ca="1">IF(COUNTA(AD7),OFFSET($C7:AD10,0,0,1,1),"")</f>
        <v/>
      </c>
      <c r="BI7" s="136" t="str">
        <f ca="1">IF(COUNTA(AE7),OFFSET($C7:AE10,0,0,1,1),"")</f>
        <v/>
      </c>
    </row>
    <row r="8" spans="1:61" s="15" customFormat="1" ht="18.45" customHeight="1" x14ac:dyDescent="0.15">
      <c r="A8" s="215"/>
      <c r="B8" s="209"/>
      <c r="C8" s="186" t="s">
        <v>20</v>
      </c>
      <c r="D8" s="187" t="s">
        <v>123</v>
      </c>
      <c r="E8" s="188"/>
      <c r="F8" s="188"/>
      <c r="G8" s="188"/>
      <c r="H8" s="187"/>
      <c r="I8" s="188"/>
      <c r="J8" s="188"/>
      <c r="K8" s="188"/>
      <c r="L8" s="187" t="s">
        <v>123</v>
      </c>
      <c r="M8" s="188"/>
      <c r="N8" s="188" t="s">
        <v>123</v>
      </c>
      <c r="O8" s="188"/>
      <c r="P8" s="187" t="s">
        <v>123</v>
      </c>
      <c r="Q8" s="188"/>
      <c r="R8" s="188"/>
      <c r="S8" s="188"/>
      <c r="T8" s="187"/>
      <c r="U8" s="188"/>
      <c r="V8" s="188"/>
      <c r="W8" s="45"/>
      <c r="X8" s="123"/>
      <c r="Y8" s="45"/>
      <c r="Z8" s="45"/>
      <c r="AA8" s="45"/>
      <c r="AB8" s="123"/>
      <c r="AC8" s="45"/>
      <c r="AD8" s="45"/>
      <c r="AE8" s="168"/>
      <c r="AF8" s="36"/>
      <c r="AG8" s="18"/>
      <c r="AH8" s="44" t="str">
        <f ca="1">IF(COUNTA(D8),OFFSET($C8:D12,0,0,1,1),"")</f>
        <v>Rédaction</v>
      </c>
      <c r="AI8" s="44" t="str">
        <f ca="1">IF(COUNTA(E8),OFFSET($C8:E12,0,0,1,1),"")</f>
        <v/>
      </c>
      <c r="AJ8" s="136" t="str">
        <f ca="1">IF(COUNTA(F8),OFFSET($C8:F12,0,0,1,1),"")</f>
        <v/>
      </c>
      <c r="AK8" s="136" t="str">
        <f ca="1">IF(COUNTA(G8),OFFSET($C8:G12,0,0,1,1),"")</f>
        <v/>
      </c>
      <c r="AL8" s="44" t="str">
        <f ca="1">IF(COUNTA(H8),OFFSET($C8:H12,0,0,1,1),"")</f>
        <v/>
      </c>
      <c r="AM8" s="44" t="str">
        <f ca="1">IF(COUNTA(I8),OFFSET($C8:I12,0,0,1,1),"")</f>
        <v/>
      </c>
      <c r="AN8" s="136" t="str">
        <f ca="1">IF(COUNTA(J8),OFFSET($C8:J12,0,0,1,1),"")</f>
        <v/>
      </c>
      <c r="AO8" s="136" t="str">
        <f ca="1">IF(COUNTA(K8),OFFSET($C8:K12,0,0,1,1),"")</f>
        <v/>
      </c>
      <c r="AP8" s="44" t="str">
        <f ca="1">IF(COUNTA(L8),OFFSET($C8:L12,0,0,1,1),"")</f>
        <v>Rédaction</v>
      </c>
      <c r="AQ8" s="44" t="str">
        <f ca="1">IF(COUNTA(M8),OFFSET($C8:M12,0,0,1,1),"")</f>
        <v/>
      </c>
      <c r="AR8" s="136" t="str">
        <f ca="1">IF(COUNTA(N8),OFFSET($C8:N12,0,0,1,1),"")</f>
        <v>Rédaction</v>
      </c>
      <c r="AS8" s="136" t="str">
        <f ca="1">IF(COUNTA(O8),OFFSET($C8:O12,0,0,1,1),"")</f>
        <v/>
      </c>
      <c r="AT8" s="44" t="str">
        <f ca="1">IF(COUNTA(P8),OFFSET($C8:P12,0,0,1,1),"")</f>
        <v>Rédaction</v>
      </c>
      <c r="AU8" s="44" t="str">
        <f ca="1">IF(COUNTA(Q8),OFFSET($C8:Q12,0,0,1,1),"")</f>
        <v/>
      </c>
      <c r="AV8" s="136" t="str">
        <f ca="1">IF(COUNTA(R8),OFFSET($C8:R12,0,0,1,1),"")</f>
        <v/>
      </c>
      <c r="AW8" s="136" t="str">
        <f ca="1">IF(COUNTA(S8),OFFSET($C8:S12,0,0,1,1),"")</f>
        <v/>
      </c>
      <c r="AX8" s="44" t="str">
        <f ca="1">IF(COUNTA(T8),OFFSET($C8:T12,0,0,1,1),"")</f>
        <v/>
      </c>
      <c r="AY8" s="44" t="str">
        <f ca="1">IF(COUNTA(U8),OFFSET($C8:U12,0,0,1,1),"")</f>
        <v/>
      </c>
      <c r="AZ8" s="136" t="str">
        <f ca="1">IF(COUNTA(V8),OFFSET($C8:V12,0,0,1,1),"")</f>
        <v/>
      </c>
      <c r="BA8" s="136" t="str">
        <f ca="1">IF(COUNTA(W8),OFFSET($C8:W12,0,0,1,1),"")</f>
        <v/>
      </c>
      <c r="BB8" s="44" t="str">
        <f ca="1">IF(COUNTA(X8),OFFSET($C8:X12,0,0,1,1),"")</f>
        <v/>
      </c>
      <c r="BC8" s="44" t="str">
        <f ca="1">IF(COUNTA(Y8),OFFSET($C8:Y12,0,0,1,1),"")</f>
        <v/>
      </c>
      <c r="BD8" s="136" t="str">
        <f ca="1">IF(COUNTA(Z8),OFFSET($C8:Z12,0,0,1,1),"")</f>
        <v/>
      </c>
      <c r="BE8" s="136" t="str">
        <f ca="1">IF(COUNTA(AA8),OFFSET($C8:AA12,0,0,1,1),"")</f>
        <v/>
      </c>
      <c r="BF8" s="44" t="str">
        <f ca="1">IF(COUNTA(AB8),OFFSET($C8:AB12,0,0,1,1),"")</f>
        <v/>
      </c>
      <c r="BG8" s="44" t="str">
        <f ca="1">IF(COUNTA(AC8),OFFSET($C8:AC12,0,0,1,1),"")</f>
        <v/>
      </c>
      <c r="BH8" s="136" t="str">
        <f ca="1">IF(COUNTA(AD8),OFFSET($C8:AD12,0,0,1,1),"")</f>
        <v/>
      </c>
      <c r="BI8" s="136" t="str">
        <f ca="1">IF(COUNTA(AE8),OFFSET($C8:AE12,0,0,1,1),"")</f>
        <v/>
      </c>
    </row>
    <row r="9" spans="1:61" s="15" customFormat="1" ht="18.45" hidden="1" customHeight="1" x14ac:dyDescent="0.15">
      <c r="A9" s="215"/>
      <c r="B9" s="209"/>
      <c r="C9" s="92" t="s">
        <v>20</v>
      </c>
      <c r="D9" s="123"/>
      <c r="E9" s="45"/>
      <c r="F9" s="45"/>
      <c r="G9" s="45"/>
      <c r="H9" s="123"/>
      <c r="I9" s="45"/>
      <c r="J9" s="45"/>
      <c r="K9" s="45"/>
      <c r="L9" s="123"/>
      <c r="M9" s="45"/>
      <c r="N9" s="45"/>
      <c r="O9" s="45"/>
      <c r="P9" s="123"/>
      <c r="Q9" s="45"/>
      <c r="R9" s="45"/>
      <c r="S9" s="45"/>
      <c r="T9" s="123"/>
      <c r="U9" s="45"/>
      <c r="V9" s="45"/>
      <c r="W9" s="45"/>
      <c r="X9" s="123"/>
      <c r="Y9" s="45"/>
      <c r="Z9" s="45"/>
      <c r="AA9" s="45"/>
      <c r="AB9" s="123"/>
      <c r="AC9" s="45"/>
      <c r="AD9" s="45"/>
      <c r="AE9" s="168"/>
      <c r="AF9" s="36"/>
      <c r="AG9" s="18"/>
      <c r="AH9" s="44" t="str">
        <f ca="1">IF(COUNTA(D9),OFFSET($C9:D13,0,0,1,1),"")</f>
        <v/>
      </c>
      <c r="AI9" s="44" t="str">
        <f ca="1">IF(COUNTA(E9),OFFSET($C9:E13,0,0,1,1),"")</f>
        <v/>
      </c>
      <c r="AJ9" s="136" t="str">
        <f ca="1">IF(COUNTA(F9),OFFSET($C9:F13,0,0,1,1),"")</f>
        <v/>
      </c>
      <c r="AK9" s="136" t="str">
        <f ca="1">IF(COUNTA(G9),OFFSET($C9:G13,0,0,1,1),"")</f>
        <v/>
      </c>
      <c r="AL9" s="44" t="str">
        <f ca="1">IF(COUNTA(H9),OFFSET($C9:H13,0,0,1,1),"")</f>
        <v/>
      </c>
      <c r="AM9" s="44" t="str">
        <f ca="1">IF(COUNTA(I9),OFFSET($C9:I13,0,0,1,1),"")</f>
        <v/>
      </c>
      <c r="AN9" s="136" t="str">
        <f ca="1">IF(COUNTA(J9),OFFSET($C9:J13,0,0,1,1),"")</f>
        <v/>
      </c>
      <c r="AO9" s="136" t="str">
        <f ca="1">IF(COUNTA(K9),OFFSET($C9:K13,0,0,1,1),"")</f>
        <v/>
      </c>
      <c r="AP9" s="44" t="str">
        <f ca="1">IF(COUNTA(L9),OFFSET($C9:L13,0,0,1,1),"")</f>
        <v/>
      </c>
      <c r="AQ9" s="44" t="str">
        <f ca="1">IF(COUNTA(M9),OFFSET($C9:M13,0,0,1,1),"")</f>
        <v/>
      </c>
      <c r="AR9" s="136" t="str">
        <f ca="1">IF(COUNTA(N9),OFFSET($C9:N13,0,0,1,1),"")</f>
        <v/>
      </c>
      <c r="AS9" s="136" t="str">
        <f ca="1">IF(COUNTA(O9),OFFSET($C9:O13,0,0,1,1),"")</f>
        <v/>
      </c>
      <c r="AT9" s="44" t="str">
        <f ca="1">IF(COUNTA(P9),OFFSET($C9:P13,0,0,1,1),"")</f>
        <v/>
      </c>
      <c r="AU9" s="44" t="str">
        <f ca="1">IF(COUNTA(Q9),OFFSET($C9:Q13,0,0,1,1),"")</f>
        <v/>
      </c>
      <c r="AV9" s="136" t="str">
        <f ca="1">IF(COUNTA(R9),OFFSET($C9:R13,0,0,1,1),"")</f>
        <v/>
      </c>
      <c r="AW9" s="136" t="str">
        <f ca="1">IF(COUNTA(S9),OFFSET($C9:S13,0,0,1,1),"")</f>
        <v/>
      </c>
      <c r="AX9" s="44" t="str">
        <f ca="1">IF(COUNTA(T9),OFFSET($C9:T13,0,0,1,1),"")</f>
        <v/>
      </c>
      <c r="AY9" s="44" t="str">
        <f ca="1">IF(COUNTA(U9),OFFSET($C9:U13,0,0,1,1),"")</f>
        <v/>
      </c>
      <c r="AZ9" s="136" t="str">
        <f ca="1">IF(COUNTA(V9),OFFSET($C9:V13,0,0,1,1),"")</f>
        <v/>
      </c>
      <c r="BA9" s="136" t="str">
        <f ca="1">IF(COUNTA(W9),OFFSET($C9:W13,0,0,1,1),"")</f>
        <v/>
      </c>
      <c r="BB9" s="44" t="str">
        <f ca="1">IF(COUNTA(X9),OFFSET($C9:X13,0,0,1,1),"")</f>
        <v/>
      </c>
      <c r="BC9" s="44" t="str">
        <f ca="1">IF(COUNTA(Y9),OFFSET($C9:Y13,0,0,1,1),"")</f>
        <v/>
      </c>
      <c r="BD9" s="136" t="str">
        <f ca="1">IF(COUNTA(Z9),OFFSET($C9:Z13,0,0,1,1),"")</f>
        <v/>
      </c>
      <c r="BE9" s="136" t="str">
        <f ca="1">IF(COUNTA(AA9),OFFSET($C9:AA13,0,0,1,1),"")</f>
        <v/>
      </c>
      <c r="BF9" s="44" t="str">
        <f ca="1">IF(COUNTA(AB9),OFFSET($C9:AB13,0,0,1,1),"")</f>
        <v/>
      </c>
      <c r="BG9" s="44" t="str">
        <f ca="1">IF(COUNTA(AC9),OFFSET($C9:AC13,0,0,1,1),"")</f>
        <v/>
      </c>
      <c r="BH9" s="136" t="str">
        <f ca="1">IF(COUNTA(AD9),OFFSET($C9:AD13,0,0,1,1),"")</f>
        <v/>
      </c>
      <c r="BI9" s="136" t="str">
        <f ca="1">IF(COUNTA(AE9),OFFSET($C9:AE13,0,0,1,1),"")</f>
        <v/>
      </c>
    </row>
    <row r="10" spans="1:61" s="15" customFormat="1" ht="18.45" hidden="1" customHeight="1" x14ac:dyDescent="0.15">
      <c r="A10" s="215"/>
      <c r="B10" s="209"/>
      <c r="C10" s="92" t="s">
        <v>20</v>
      </c>
      <c r="D10" s="123"/>
      <c r="E10" s="45"/>
      <c r="F10" s="45"/>
      <c r="G10" s="45"/>
      <c r="H10" s="123"/>
      <c r="I10" s="45"/>
      <c r="J10" s="45"/>
      <c r="K10" s="45"/>
      <c r="L10" s="123"/>
      <c r="M10" s="45"/>
      <c r="N10" s="45"/>
      <c r="O10" s="45"/>
      <c r="P10" s="123"/>
      <c r="Q10" s="45"/>
      <c r="R10" s="45"/>
      <c r="S10" s="45"/>
      <c r="T10" s="123"/>
      <c r="U10" s="45"/>
      <c r="V10" s="45"/>
      <c r="W10" s="45"/>
      <c r="X10" s="123"/>
      <c r="Y10" s="45"/>
      <c r="Z10" s="45"/>
      <c r="AA10" s="45"/>
      <c r="AB10" s="123"/>
      <c r="AC10" s="45"/>
      <c r="AD10" s="45"/>
      <c r="AE10" s="168"/>
      <c r="AF10" s="36"/>
      <c r="AG10" s="18"/>
      <c r="AH10" s="44" t="str">
        <f ca="1">IF(COUNTA(D10),OFFSET($C10:D14,0,0,1,1),"")</f>
        <v/>
      </c>
      <c r="AI10" s="44" t="str">
        <f ca="1">IF(COUNTA(E10),OFFSET($C10:E14,0,0,1,1),"")</f>
        <v/>
      </c>
      <c r="AJ10" s="136" t="str">
        <f ca="1">IF(COUNTA(F10),OFFSET($C10:F14,0,0,1,1),"")</f>
        <v/>
      </c>
      <c r="AK10" s="136" t="str">
        <f ca="1">IF(COUNTA(G10),OFFSET($C10:G14,0,0,1,1),"")</f>
        <v/>
      </c>
      <c r="AL10" s="44" t="str">
        <f ca="1">IF(COUNTA(H10),OFFSET($C10:H14,0,0,1,1),"")</f>
        <v/>
      </c>
      <c r="AM10" s="44" t="str">
        <f ca="1">IF(COUNTA(I10),OFFSET($C10:I14,0,0,1,1),"")</f>
        <v/>
      </c>
      <c r="AN10" s="136" t="str">
        <f ca="1">IF(COUNTA(J10),OFFSET($C10:J14,0,0,1,1),"")</f>
        <v/>
      </c>
      <c r="AO10" s="136" t="str">
        <f ca="1">IF(COUNTA(K10),OFFSET($C10:K14,0,0,1,1),"")</f>
        <v/>
      </c>
      <c r="AP10" s="44" t="str">
        <f ca="1">IF(COUNTA(L10),OFFSET($C10:L14,0,0,1,1),"")</f>
        <v/>
      </c>
      <c r="AQ10" s="44" t="str">
        <f ca="1">IF(COUNTA(M10),OFFSET($C10:M14,0,0,1,1),"")</f>
        <v/>
      </c>
      <c r="AR10" s="136" t="str">
        <f ca="1">IF(COUNTA(N10),OFFSET($C10:N14,0,0,1,1),"")</f>
        <v/>
      </c>
      <c r="AS10" s="136" t="str">
        <f ca="1">IF(COUNTA(O10),OFFSET($C10:O14,0,0,1,1),"")</f>
        <v/>
      </c>
      <c r="AT10" s="44" t="str">
        <f ca="1">IF(COUNTA(P10),OFFSET($C10:P14,0,0,1,1),"")</f>
        <v/>
      </c>
      <c r="AU10" s="44" t="str">
        <f ca="1">IF(COUNTA(Q10),OFFSET($C10:Q14,0,0,1,1),"")</f>
        <v/>
      </c>
      <c r="AV10" s="136" t="str">
        <f ca="1">IF(COUNTA(R10),OFFSET($C10:R14,0,0,1,1),"")</f>
        <v/>
      </c>
      <c r="AW10" s="136" t="str">
        <f ca="1">IF(COUNTA(S10),OFFSET($C10:S14,0,0,1,1),"")</f>
        <v/>
      </c>
      <c r="AX10" s="44" t="str">
        <f ca="1">IF(COUNTA(T10),OFFSET($C10:T14,0,0,1,1),"")</f>
        <v/>
      </c>
      <c r="AY10" s="44" t="str">
        <f ca="1">IF(COUNTA(U10),OFFSET($C10:U14,0,0,1,1),"")</f>
        <v/>
      </c>
      <c r="AZ10" s="136" t="str">
        <f ca="1">IF(COUNTA(V10),OFFSET($C10:V14,0,0,1,1),"")</f>
        <v/>
      </c>
      <c r="BA10" s="136" t="str">
        <f ca="1">IF(COUNTA(W10),OFFSET($C10:W14,0,0,1,1),"")</f>
        <v/>
      </c>
      <c r="BB10" s="44" t="str">
        <f ca="1">IF(COUNTA(X10),OFFSET($C10:X14,0,0,1,1),"")</f>
        <v/>
      </c>
      <c r="BC10" s="44" t="str">
        <f ca="1">IF(COUNTA(Y10),OFFSET($C10:Y14,0,0,1,1),"")</f>
        <v/>
      </c>
      <c r="BD10" s="136" t="str">
        <f ca="1">IF(COUNTA(Z10),OFFSET($C10:Z14,0,0,1,1),"")</f>
        <v/>
      </c>
      <c r="BE10" s="136" t="str">
        <f ca="1">IF(COUNTA(AA10),OFFSET($C10:AA14,0,0,1,1),"")</f>
        <v/>
      </c>
      <c r="BF10" s="44" t="str">
        <f ca="1">IF(COUNTA(AB10),OFFSET($C10:AB14,0,0,1,1),"")</f>
        <v/>
      </c>
      <c r="BG10" s="44" t="str">
        <f ca="1">IF(COUNTA(AC10),OFFSET($C10:AC14,0,0,1,1),"")</f>
        <v/>
      </c>
      <c r="BH10" s="136" t="str">
        <f ca="1">IF(COUNTA(AD10),OFFSET($C10:AD14,0,0,1,1),"")</f>
        <v/>
      </c>
      <c r="BI10" s="136" t="str">
        <f ca="1">IF(COUNTA(AE10),OFFSET($C10:AE14,0,0,1,1),"")</f>
        <v/>
      </c>
    </row>
    <row r="11" spans="1:61" s="15" customFormat="1" ht="18.45" hidden="1" customHeight="1" x14ac:dyDescent="0.15">
      <c r="A11" s="215"/>
      <c r="B11" s="209"/>
      <c r="C11" s="92" t="s">
        <v>20</v>
      </c>
      <c r="D11" s="123"/>
      <c r="E11" s="45"/>
      <c r="F11" s="45"/>
      <c r="G11" s="45"/>
      <c r="H11" s="123"/>
      <c r="I11" s="45"/>
      <c r="J11" s="45"/>
      <c r="K11" s="45"/>
      <c r="L11" s="123"/>
      <c r="M11" s="45"/>
      <c r="N11" s="45"/>
      <c r="O11" s="45"/>
      <c r="P11" s="123"/>
      <c r="Q11" s="45"/>
      <c r="R11" s="45"/>
      <c r="S11" s="45"/>
      <c r="T11" s="123"/>
      <c r="U11" s="45"/>
      <c r="V11" s="45"/>
      <c r="W11" s="45"/>
      <c r="X11" s="123"/>
      <c r="Y11" s="45"/>
      <c r="Z11" s="45"/>
      <c r="AA11" s="45"/>
      <c r="AB11" s="123"/>
      <c r="AC11" s="45"/>
      <c r="AD11" s="45"/>
      <c r="AE11" s="168"/>
      <c r="AF11" s="36"/>
      <c r="AG11" s="18"/>
      <c r="AH11" s="44" t="str">
        <f ca="1">IF(COUNTA(D11),OFFSET($C11:D13,0,0,1,1),"")</f>
        <v/>
      </c>
      <c r="AI11" s="44" t="str">
        <f ca="1">IF(COUNTA(E11),OFFSET($C11:E13,0,0,1,1),"")</f>
        <v/>
      </c>
      <c r="AJ11" s="136" t="str">
        <f ca="1">IF(COUNTA(F11),OFFSET($C11:F13,0,0,1,1),"")</f>
        <v/>
      </c>
      <c r="AK11" s="136" t="str">
        <f ca="1">IF(COUNTA(G11),OFFSET($C11:G13,0,0,1,1),"")</f>
        <v/>
      </c>
      <c r="AL11" s="44" t="str">
        <f ca="1">IF(COUNTA(H11),OFFSET($C11:H13,0,0,1,1),"")</f>
        <v/>
      </c>
      <c r="AM11" s="44" t="str">
        <f ca="1">IF(COUNTA(I11),OFFSET($C11:I13,0,0,1,1),"")</f>
        <v/>
      </c>
      <c r="AN11" s="136" t="str">
        <f ca="1">IF(COUNTA(J11),OFFSET($C11:J13,0,0,1,1),"")</f>
        <v/>
      </c>
      <c r="AO11" s="136" t="str">
        <f ca="1">IF(COUNTA(K11),OFFSET($C11:K13,0,0,1,1),"")</f>
        <v/>
      </c>
      <c r="AP11" s="44" t="str">
        <f ca="1">IF(COUNTA(L11),OFFSET($C11:L13,0,0,1,1),"")</f>
        <v/>
      </c>
      <c r="AQ11" s="44" t="str">
        <f ca="1">IF(COUNTA(M11),OFFSET($C11:M13,0,0,1,1),"")</f>
        <v/>
      </c>
      <c r="AR11" s="136" t="str">
        <f ca="1">IF(COUNTA(N11),OFFSET($C11:N13,0,0,1,1),"")</f>
        <v/>
      </c>
      <c r="AS11" s="136" t="str">
        <f ca="1">IF(COUNTA(O11),OFFSET($C11:O13,0,0,1,1),"")</f>
        <v/>
      </c>
      <c r="AT11" s="44" t="str">
        <f ca="1">IF(COUNTA(P11),OFFSET($C11:P13,0,0,1,1),"")</f>
        <v/>
      </c>
      <c r="AU11" s="44" t="str">
        <f ca="1">IF(COUNTA(Q11),OFFSET($C11:Q13,0,0,1,1),"")</f>
        <v/>
      </c>
      <c r="AV11" s="136" t="str">
        <f ca="1">IF(COUNTA(R11),OFFSET($C11:R13,0,0,1,1),"")</f>
        <v/>
      </c>
      <c r="AW11" s="136" t="str">
        <f ca="1">IF(COUNTA(S11),OFFSET($C11:S13,0,0,1,1),"")</f>
        <v/>
      </c>
      <c r="AX11" s="44" t="str">
        <f ca="1">IF(COUNTA(T11),OFFSET($C11:T13,0,0,1,1),"")</f>
        <v/>
      </c>
      <c r="AY11" s="44" t="str">
        <f ca="1">IF(COUNTA(U11),OFFSET($C11:U13,0,0,1,1),"")</f>
        <v/>
      </c>
      <c r="AZ11" s="136" t="str">
        <f ca="1">IF(COUNTA(V11),OFFSET($C11:V13,0,0,1,1),"")</f>
        <v/>
      </c>
      <c r="BA11" s="136" t="str">
        <f ca="1">IF(COUNTA(W11),OFFSET($C11:W13,0,0,1,1),"")</f>
        <v/>
      </c>
      <c r="BB11" s="44" t="str">
        <f ca="1">IF(COUNTA(X11),OFFSET($C11:X13,0,0,1,1),"")</f>
        <v/>
      </c>
      <c r="BC11" s="44" t="str">
        <f ca="1">IF(COUNTA(Y11),OFFSET($C11:Y13,0,0,1,1),"")</f>
        <v/>
      </c>
      <c r="BD11" s="136" t="str">
        <f ca="1">IF(COUNTA(Z11),OFFSET($C11:Z13,0,0,1,1),"")</f>
        <v/>
      </c>
      <c r="BE11" s="136" t="str">
        <f ca="1">IF(COUNTA(AA11),OFFSET($C11:AA13,0,0,1,1),"")</f>
        <v/>
      </c>
      <c r="BF11" s="44" t="str">
        <f ca="1">IF(COUNTA(AB11),OFFSET($C11:AB13,0,0,1,1),"")</f>
        <v/>
      </c>
      <c r="BG11" s="44" t="str">
        <f ca="1">IF(COUNTA(AC11),OFFSET($C11:AC13,0,0,1,1),"")</f>
        <v/>
      </c>
      <c r="BH11" s="136" t="str">
        <f ca="1">IF(COUNTA(AD11),OFFSET($C11:AD13,0,0,1,1),"")</f>
        <v/>
      </c>
      <c r="BI11" s="136" t="str">
        <f ca="1">IF(COUNTA(AE11),OFFSET($C11:AE13,0,0,1,1),"")</f>
        <v/>
      </c>
    </row>
    <row r="12" spans="1:61" s="15" customFormat="1" ht="18.45" hidden="1" customHeight="1" x14ac:dyDescent="0.15">
      <c r="A12" s="215"/>
      <c r="B12" s="209"/>
      <c r="C12" s="92" t="s">
        <v>20</v>
      </c>
      <c r="D12" s="123"/>
      <c r="E12" s="45"/>
      <c r="F12" s="45"/>
      <c r="G12" s="45"/>
      <c r="H12" s="123"/>
      <c r="I12" s="45"/>
      <c r="J12" s="45"/>
      <c r="K12" s="45"/>
      <c r="L12" s="123"/>
      <c r="M12" s="45"/>
      <c r="N12" s="45"/>
      <c r="O12" s="45"/>
      <c r="P12" s="123"/>
      <c r="Q12" s="45"/>
      <c r="R12" s="45"/>
      <c r="S12" s="45"/>
      <c r="T12" s="123"/>
      <c r="U12" s="45"/>
      <c r="V12" s="45"/>
      <c r="W12" s="45"/>
      <c r="X12" s="123"/>
      <c r="Y12" s="45"/>
      <c r="Z12" s="45"/>
      <c r="AA12" s="45"/>
      <c r="AB12" s="123"/>
      <c r="AC12" s="45"/>
      <c r="AD12" s="45"/>
      <c r="AE12" s="168"/>
      <c r="AF12" s="36"/>
      <c r="AG12" s="18"/>
      <c r="AH12" s="44" t="str">
        <f ca="1">IF(COUNTA(D12),OFFSET($C12:D15,0,0,1,1),"")</f>
        <v/>
      </c>
      <c r="AI12" s="44" t="str">
        <f ca="1">IF(COUNTA(E12),OFFSET($C12:E15,0,0,1,1),"")</f>
        <v/>
      </c>
      <c r="AJ12" s="136" t="str">
        <f ca="1">IF(COUNTA(F12),OFFSET($C12:F15,0,0,1,1),"")</f>
        <v/>
      </c>
      <c r="AK12" s="136" t="str">
        <f ca="1">IF(COUNTA(G12),OFFSET($C12:G15,0,0,1,1),"")</f>
        <v/>
      </c>
      <c r="AL12" s="44" t="str">
        <f ca="1">IF(COUNTA(H12),OFFSET($C12:H15,0,0,1,1),"")</f>
        <v/>
      </c>
      <c r="AM12" s="44" t="str">
        <f ca="1">IF(COUNTA(I12),OFFSET($C12:I15,0,0,1,1),"")</f>
        <v/>
      </c>
      <c r="AN12" s="136" t="str">
        <f ca="1">IF(COUNTA(J12),OFFSET($C12:J15,0,0,1,1),"")</f>
        <v/>
      </c>
      <c r="AO12" s="136" t="str">
        <f ca="1">IF(COUNTA(K12),OFFSET($C12:K15,0,0,1,1),"")</f>
        <v/>
      </c>
      <c r="AP12" s="44" t="str">
        <f ca="1">IF(COUNTA(L12),OFFSET($C12:L15,0,0,1,1),"")</f>
        <v/>
      </c>
      <c r="AQ12" s="44" t="str">
        <f ca="1">IF(COUNTA(M12),OFFSET($C12:M15,0,0,1,1),"")</f>
        <v/>
      </c>
      <c r="AR12" s="136" t="str">
        <f ca="1">IF(COUNTA(N12),OFFSET($C12:N15,0,0,1,1),"")</f>
        <v/>
      </c>
      <c r="AS12" s="136" t="str">
        <f ca="1">IF(COUNTA(O12),OFFSET($C12:O15,0,0,1,1),"")</f>
        <v/>
      </c>
      <c r="AT12" s="44" t="str">
        <f ca="1">IF(COUNTA(P12),OFFSET($C12:P15,0,0,1,1),"")</f>
        <v/>
      </c>
      <c r="AU12" s="44" t="str">
        <f ca="1">IF(COUNTA(Q12),OFFSET($C12:Q15,0,0,1,1),"")</f>
        <v/>
      </c>
      <c r="AV12" s="136" t="str">
        <f ca="1">IF(COUNTA(R12),OFFSET($C12:R15,0,0,1,1),"")</f>
        <v/>
      </c>
      <c r="AW12" s="136" t="str">
        <f ca="1">IF(COUNTA(S12),OFFSET($C12:S15,0,0,1,1),"")</f>
        <v/>
      </c>
      <c r="AX12" s="44" t="str">
        <f ca="1">IF(COUNTA(T12),OFFSET($C12:T15,0,0,1,1),"")</f>
        <v/>
      </c>
      <c r="AY12" s="44" t="str">
        <f ca="1">IF(COUNTA(U12),OFFSET($C12:U15,0,0,1,1),"")</f>
        <v/>
      </c>
      <c r="AZ12" s="136" t="str">
        <f ca="1">IF(COUNTA(V12),OFFSET($C12:V15,0,0,1,1),"")</f>
        <v/>
      </c>
      <c r="BA12" s="136" t="str">
        <f ca="1">IF(COUNTA(W12),OFFSET($C12:W15,0,0,1,1),"")</f>
        <v/>
      </c>
      <c r="BB12" s="44" t="str">
        <f ca="1">IF(COUNTA(X12),OFFSET($C12:X15,0,0,1,1),"")</f>
        <v/>
      </c>
      <c r="BC12" s="44" t="str">
        <f ca="1">IF(COUNTA(Y12),OFFSET($C12:Y15,0,0,1,1),"")</f>
        <v/>
      </c>
      <c r="BD12" s="136" t="str">
        <f ca="1">IF(COUNTA(Z12),OFFSET($C12:Z15,0,0,1,1),"")</f>
        <v/>
      </c>
      <c r="BE12" s="136" t="str">
        <f ca="1">IF(COUNTA(AA12),OFFSET($C12:AA15,0,0,1,1),"")</f>
        <v/>
      </c>
      <c r="BF12" s="44" t="str">
        <f ca="1">IF(COUNTA(AB12),OFFSET($C12:AB15,0,0,1,1),"")</f>
        <v/>
      </c>
      <c r="BG12" s="44" t="str">
        <f ca="1">IF(COUNTA(AC12),OFFSET($C12:AC15,0,0,1,1),"")</f>
        <v/>
      </c>
      <c r="BH12" s="136" t="str">
        <f ca="1">IF(COUNTA(AD12),OFFSET($C12:AD15,0,0,1,1),"")</f>
        <v/>
      </c>
      <c r="BI12" s="136" t="str">
        <f ca="1">IF(COUNTA(AE12),OFFSET($C12:AE15,0,0,1,1),"")</f>
        <v/>
      </c>
    </row>
    <row r="13" spans="1:61" s="15" customFormat="1" ht="18.45" hidden="1" customHeight="1" x14ac:dyDescent="0.15">
      <c r="A13" s="215"/>
      <c r="B13" s="210"/>
      <c r="C13" s="93" t="s">
        <v>20</v>
      </c>
      <c r="D13" s="124"/>
      <c r="E13" s="43"/>
      <c r="F13" s="43"/>
      <c r="G13" s="43"/>
      <c r="H13" s="124"/>
      <c r="I13" s="43"/>
      <c r="J13" s="43"/>
      <c r="K13" s="43"/>
      <c r="L13" s="124"/>
      <c r="M13" s="43"/>
      <c r="N13" s="43"/>
      <c r="O13" s="43"/>
      <c r="P13" s="124"/>
      <c r="Q13" s="43"/>
      <c r="R13" s="43"/>
      <c r="S13" s="43"/>
      <c r="T13" s="124"/>
      <c r="U13" s="43"/>
      <c r="V13" s="43"/>
      <c r="W13" s="43"/>
      <c r="X13" s="124"/>
      <c r="Y13" s="43"/>
      <c r="Z13" s="43"/>
      <c r="AA13" s="43"/>
      <c r="AB13" s="124"/>
      <c r="AC13" s="43"/>
      <c r="AD13" s="43"/>
      <c r="AE13" s="169"/>
      <c r="AF13" s="36"/>
      <c r="AG13" s="18"/>
      <c r="AH13" s="42" t="str">
        <f ca="1">IF(COUNTA(D13),OFFSET($C13:D16,0,0,1,1),"")</f>
        <v/>
      </c>
      <c r="AI13" s="42" t="str">
        <f ca="1">IF(COUNTA(E13),OFFSET($C13:E16,0,0,1,1),"")</f>
        <v/>
      </c>
      <c r="AJ13" s="137" t="str">
        <f ca="1">IF(COUNTA(F13),OFFSET($C13:F16,0,0,1,1),"")</f>
        <v/>
      </c>
      <c r="AK13" s="137" t="str">
        <f ca="1">IF(COUNTA(G13),OFFSET($C13:G16,0,0,1,1),"")</f>
        <v/>
      </c>
      <c r="AL13" s="42" t="str">
        <f ca="1">IF(COUNTA(H13),OFFSET($C13:H16,0,0,1,1),"")</f>
        <v/>
      </c>
      <c r="AM13" s="42" t="str">
        <f ca="1">IF(COUNTA(I13),OFFSET($C13:I16,0,0,1,1),"")</f>
        <v/>
      </c>
      <c r="AN13" s="137" t="str">
        <f ca="1">IF(COUNTA(J13),OFFSET($C13:J16,0,0,1,1),"")</f>
        <v/>
      </c>
      <c r="AO13" s="137" t="str">
        <f ca="1">IF(COUNTA(K13),OFFSET($C13:K16,0,0,1,1),"")</f>
        <v/>
      </c>
      <c r="AP13" s="42" t="str">
        <f ca="1">IF(COUNTA(L13),OFFSET($C13:L16,0,0,1,1),"")</f>
        <v/>
      </c>
      <c r="AQ13" s="42" t="str">
        <f ca="1">IF(COUNTA(M13),OFFSET($C13:M16,0,0,1,1),"")</f>
        <v/>
      </c>
      <c r="AR13" s="137" t="str">
        <f ca="1">IF(COUNTA(N13),OFFSET($C13:N16,0,0,1,1),"")</f>
        <v/>
      </c>
      <c r="AS13" s="137" t="str">
        <f ca="1">IF(COUNTA(O13),OFFSET($C13:O16,0,0,1,1),"")</f>
        <v/>
      </c>
      <c r="AT13" s="42" t="str">
        <f ca="1">IF(COUNTA(P13),OFFSET($C13:P16,0,0,1,1),"")</f>
        <v/>
      </c>
      <c r="AU13" s="42" t="str">
        <f ca="1">IF(COUNTA(Q13),OFFSET($C13:Q16,0,0,1,1),"")</f>
        <v/>
      </c>
      <c r="AV13" s="137" t="str">
        <f ca="1">IF(COUNTA(R13),OFFSET($C13:R16,0,0,1,1),"")</f>
        <v/>
      </c>
      <c r="AW13" s="137" t="str">
        <f ca="1">IF(COUNTA(S13),OFFSET($C13:S16,0,0,1,1),"")</f>
        <v/>
      </c>
      <c r="AX13" s="42" t="str">
        <f ca="1">IF(COUNTA(T13),OFFSET($C13:T16,0,0,1,1),"")</f>
        <v/>
      </c>
      <c r="AY13" s="42" t="str">
        <f ca="1">IF(COUNTA(U13),OFFSET($C13:U16,0,0,1,1),"")</f>
        <v/>
      </c>
      <c r="AZ13" s="137" t="str">
        <f ca="1">IF(COUNTA(V13),OFFSET($C13:V16,0,0,1,1),"")</f>
        <v/>
      </c>
      <c r="BA13" s="137" t="str">
        <f ca="1">IF(COUNTA(W13),OFFSET($C13:W16,0,0,1,1),"")</f>
        <v/>
      </c>
      <c r="BB13" s="42" t="str">
        <f ca="1">IF(COUNTA(X13),OFFSET($C13:X16,0,0,1,1),"")</f>
        <v/>
      </c>
      <c r="BC13" s="42" t="str">
        <f ca="1">IF(COUNTA(Y13),OFFSET($C13:Y16,0,0,1,1),"")</f>
        <v/>
      </c>
      <c r="BD13" s="137" t="str">
        <f ca="1">IF(COUNTA(Z13),OFFSET($C13:Z16,0,0,1,1),"")</f>
        <v/>
      </c>
      <c r="BE13" s="137" t="str">
        <f ca="1">IF(COUNTA(AA13),OFFSET($C13:AA16,0,0,1,1),"")</f>
        <v/>
      </c>
      <c r="BF13" s="42" t="str">
        <f ca="1">IF(COUNTA(AB13),OFFSET($C13:AB16,0,0,1,1),"")</f>
        <v/>
      </c>
      <c r="BG13" s="42" t="str">
        <f ca="1">IF(COUNTA(AC13),OFFSET($C13:AC16,0,0,1,1),"")</f>
        <v/>
      </c>
      <c r="BH13" s="137" t="str">
        <f ca="1">IF(COUNTA(AD13),OFFSET($C13:AD16,0,0,1,1),"")</f>
        <v/>
      </c>
      <c r="BI13" s="137" t="str">
        <f ca="1">IF(COUNTA(AE13),OFFSET($C13:AE16,0,0,1,1),"")</f>
        <v/>
      </c>
    </row>
    <row r="14" spans="1:61" s="15" customFormat="1" ht="18.45" customHeight="1" x14ac:dyDescent="0.15">
      <c r="A14" s="215"/>
      <c r="B14" s="208" t="s">
        <v>32</v>
      </c>
      <c r="C14" s="91" t="s">
        <v>32</v>
      </c>
      <c r="D14" s="122"/>
      <c r="E14" s="39"/>
      <c r="F14" s="39"/>
      <c r="G14" s="39"/>
      <c r="H14" s="122" t="s">
        <v>124</v>
      </c>
      <c r="I14" s="39"/>
      <c r="J14" s="39" t="s">
        <v>124</v>
      </c>
      <c r="K14" s="39"/>
      <c r="L14" s="122" t="s">
        <v>184</v>
      </c>
      <c r="M14" s="39"/>
      <c r="N14" s="39"/>
      <c r="O14" s="39"/>
      <c r="P14" s="122"/>
      <c r="Q14" s="39"/>
      <c r="R14" s="39" t="s">
        <v>124</v>
      </c>
      <c r="S14" s="39"/>
      <c r="T14" s="122" t="s">
        <v>124</v>
      </c>
      <c r="U14" s="39"/>
      <c r="V14" s="39" t="s">
        <v>124</v>
      </c>
      <c r="W14" s="39"/>
      <c r="X14" s="122"/>
      <c r="Y14" s="39"/>
      <c r="Z14" s="39"/>
      <c r="AA14" s="39"/>
      <c r="AB14" s="122"/>
      <c r="AC14" s="39"/>
      <c r="AD14" s="39"/>
      <c r="AE14" s="167"/>
      <c r="AF14" s="36"/>
      <c r="AG14" s="18"/>
      <c r="AH14" s="38" t="str">
        <f ca="1">IF(COUNTA(D14),OFFSET($C14:D23,0,0,1,1),"")</f>
        <v/>
      </c>
      <c r="AI14" s="38" t="str">
        <f ca="1">IF(COUNTA(E14),OFFSET($C14:E23,0,0,1,1),"")</f>
        <v/>
      </c>
      <c r="AJ14" s="135" t="str">
        <f ca="1">IF(COUNTA(F14),OFFSET($C14:F23,0,0,1,1),"")</f>
        <v/>
      </c>
      <c r="AK14" s="135" t="str">
        <f ca="1">IF(COUNTA(G14),OFFSET($C14:G23,0,0,1,1),"")</f>
        <v/>
      </c>
      <c r="AL14" s="38" t="str">
        <f ca="1">IF(COUNTA(H14),OFFSET($C14:H23,0,0,1,1),"")</f>
        <v>Animation</v>
      </c>
      <c r="AM14" s="38" t="str">
        <f ca="1">IF(COUNTA(I14),OFFSET($C14:I23,0,0,1,1),"")</f>
        <v/>
      </c>
      <c r="AN14" s="135" t="str">
        <f ca="1">IF(COUNTA(J14),OFFSET($C14:J23,0,0,1,1),"")</f>
        <v>Animation</v>
      </c>
      <c r="AO14" s="135" t="str">
        <f ca="1">IF(COUNTA(K14),OFFSET($C14:K23,0,0,1,1),"")</f>
        <v/>
      </c>
      <c r="AP14" s="38" t="str">
        <f ca="1">IF(COUNTA(L14),OFFSET($C14:L23,0,0,1,1),"")</f>
        <v>Animation</v>
      </c>
      <c r="AQ14" s="38" t="str">
        <f ca="1">IF(COUNTA(M14),OFFSET($C14:M23,0,0,1,1),"")</f>
        <v/>
      </c>
      <c r="AR14" s="135" t="str">
        <f ca="1">IF(COUNTA(N14),OFFSET($C14:N23,0,0,1,1),"")</f>
        <v/>
      </c>
      <c r="AS14" s="135" t="str">
        <f ca="1">IF(COUNTA(O14),OFFSET($C14:O23,0,0,1,1),"")</f>
        <v/>
      </c>
      <c r="AT14" s="38" t="str">
        <f ca="1">IF(COUNTA(P14),OFFSET($C14:P23,0,0,1,1),"")</f>
        <v/>
      </c>
      <c r="AU14" s="38" t="str">
        <f ca="1">IF(COUNTA(Q14),OFFSET($C14:Q23,0,0,1,1),"")</f>
        <v/>
      </c>
      <c r="AV14" s="135" t="str">
        <f ca="1">IF(COUNTA(R14),OFFSET($C14:R23,0,0,1,1),"")</f>
        <v>Animation</v>
      </c>
      <c r="AW14" s="135" t="str">
        <f ca="1">IF(COUNTA(S14),OFFSET($C14:S23,0,0,1,1),"")</f>
        <v/>
      </c>
      <c r="AX14" s="38" t="str">
        <f ca="1">IF(COUNTA(T14),OFFSET($C14:T23,0,0,1,1),"")</f>
        <v>Animation</v>
      </c>
      <c r="AY14" s="38" t="str">
        <f ca="1">IF(COUNTA(U14),OFFSET($C14:U23,0,0,1,1),"")</f>
        <v/>
      </c>
      <c r="AZ14" s="135" t="str">
        <f ca="1">IF(COUNTA(V14),OFFSET($C14:V23,0,0,1,1),"")</f>
        <v>Animation</v>
      </c>
      <c r="BA14" s="135" t="str">
        <f ca="1">IF(COUNTA(W14),OFFSET($C14:W23,0,0,1,1),"")</f>
        <v/>
      </c>
      <c r="BB14" s="38" t="str">
        <f ca="1">IF(COUNTA(X14),OFFSET($C14:X23,0,0,1,1),"")</f>
        <v/>
      </c>
      <c r="BC14" s="38" t="str">
        <f ca="1">IF(COUNTA(Y14),OFFSET($C14:Y23,0,0,1,1),"")</f>
        <v/>
      </c>
      <c r="BD14" s="135" t="str">
        <f ca="1">IF(COUNTA(Z14),OFFSET($C14:Z23,0,0,1,1),"")</f>
        <v/>
      </c>
      <c r="BE14" s="135" t="str">
        <f ca="1">IF(COUNTA(AA14),OFFSET($C14:AA23,0,0,1,1),"")</f>
        <v/>
      </c>
      <c r="BF14" s="38" t="str">
        <f ca="1">IF(COUNTA(AB14),OFFSET($C14:AB23,0,0,1,1),"")</f>
        <v/>
      </c>
      <c r="BG14" s="38" t="str">
        <f ca="1">IF(COUNTA(AC14),OFFSET($C14:AC23,0,0,1,1),"")</f>
        <v/>
      </c>
      <c r="BH14" s="135" t="str">
        <f ca="1">IF(COUNTA(AD14),OFFSET($C14:AD23,0,0,1,1),"")</f>
        <v/>
      </c>
      <c r="BI14" s="135" t="str">
        <f ca="1">IF(COUNTA(AE14),OFFSET($C14:AE23,0,0,1,1),"")</f>
        <v/>
      </c>
    </row>
    <row r="15" spans="1:61" s="15" customFormat="1" ht="18.45" customHeight="1" x14ac:dyDescent="0.15">
      <c r="A15" s="215"/>
      <c r="B15" s="209"/>
      <c r="C15" s="92" t="s">
        <v>32</v>
      </c>
      <c r="D15" s="123"/>
      <c r="E15" s="45"/>
      <c r="F15" s="45"/>
      <c r="G15" s="45"/>
      <c r="H15" s="123" t="s">
        <v>143</v>
      </c>
      <c r="I15" s="45"/>
      <c r="J15" s="45" t="s">
        <v>143</v>
      </c>
      <c r="K15" s="45"/>
      <c r="L15" s="123"/>
      <c r="M15" s="45"/>
      <c r="N15" s="45"/>
      <c r="O15" s="45"/>
      <c r="P15" s="123"/>
      <c r="Q15" s="45"/>
      <c r="R15" s="45" t="s">
        <v>185</v>
      </c>
      <c r="S15" s="45"/>
      <c r="T15" s="123" t="s">
        <v>143</v>
      </c>
      <c r="U15" s="45"/>
      <c r="V15" s="45" t="s">
        <v>146</v>
      </c>
      <c r="W15" s="45"/>
      <c r="X15" s="123"/>
      <c r="Y15" s="45"/>
      <c r="Z15" s="45"/>
      <c r="AA15" s="45"/>
      <c r="AB15" s="123"/>
      <c r="AC15" s="45"/>
      <c r="AD15" s="45"/>
      <c r="AE15" s="168"/>
      <c r="AF15" s="36"/>
      <c r="AG15" s="18"/>
      <c r="AH15" s="44" t="str">
        <f ca="1">IF(COUNTA(D15),OFFSET($C15:D24,0,0,1,1),"")</f>
        <v/>
      </c>
      <c r="AI15" s="44" t="str">
        <f ca="1">IF(COUNTA(E15),OFFSET($C15:E24,0,0,1,1),"")</f>
        <v/>
      </c>
      <c r="AJ15" s="136" t="str">
        <f ca="1">IF(COUNTA(F15),OFFSET($C15:F24,0,0,1,1),"")</f>
        <v/>
      </c>
      <c r="AK15" s="136" t="str">
        <f ca="1">IF(COUNTA(G15),OFFSET($C15:G24,0,0,1,1),"")</f>
        <v/>
      </c>
      <c r="AL15" s="44" t="str">
        <f ca="1">IF(COUNTA(H15),OFFSET($C15:H24,0,0,1,1),"")</f>
        <v>Animation</v>
      </c>
      <c r="AM15" s="44" t="str">
        <f ca="1">IF(COUNTA(I15),OFFSET($C15:I24,0,0,1,1),"")</f>
        <v/>
      </c>
      <c r="AN15" s="136" t="str">
        <f ca="1">IF(COUNTA(J15),OFFSET($C15:J24,0,0,1,1),"")</f>
        <v>Animation</v>
      </c>
      <c r="AO15" s="136" t="str">
        <f ca="1">IF(COUNTA(K15),OFFSET($C15:K24,0,0,1,1),"")</f>
        <v/>
      </c>
      <c r="AP15" s="44" t="str">
        <f ca="1">IF(COUNTA(L15),OFFSET($C15:L24,0,0,1,1),"")</f>
        <v/>
      </c>
      <c r="AQ15" s="44" t="str">
        <f ca="1">IF(COUNTA(M15),OFFSET($C15:M24,0,0,1,1),"")</f>
        <v/>
      </c>
      <c r="AR15" s="136" t="str">
        <f ca="1">IF(COUNTA(N15),OFFSET($C15:N24,0,0,1,1),"")</f>
        <v/>
      </c>
      <c r="AS15" s="136" t="str">
        <f ca="1">IF(COUNTA(O15),OFFSET($C15:O24,0,0,1,1),"")</f>
        <v/>
      </c>
      <c r="AT15" s="44" t="str">
        <f ca="1">IF(COUNTA(P15),OFFSET($C15:P24,0,0,1,1),"")</f>
        <v/>
      </c>
      <c r="AU15" s="44" t="str">
        <f ca="1">IF(COUNTA(Q15),OFFSET($C15:Q24,0,0,1,1),"")</f>
        <v/>
      </c>
      <c r="AV15" s="136" t="str">
        <f ca="1">IF(COUNTA(R15),OFFSET($C15:R24,0,0,1,1),"")</f>
        <v>Animation</v>
      </c>
      <c r="AW15" s="136" t="str">
        <f ca="1">IF(COUNTA(S15),OFFSET($C15:S24,0,0,1,1),"")</f>
        <v/>
      </c>
      <c r="AX15" s="44" t="str">
        <f ca="1">IF(COUNTA(T15),OFFSET($C15:T24,0,0,1,1),"")</f>
        <v>Animation</v>
      </c>
      <c r="AY15" s="44" t="str">
        <f ca="1">IF(COUNTA(U15),OFFSET($C15:U24,0,0,1,1),"")</f>
        <v/>
      </c>
      <c r="AZ15" s="136" t="str">
        <f ca="1">IF(COUNTA(V15),OFFSET($C15:V24,0,0,1,1),"")</f>
        <v>Animation</v>
      </c>
      <c r="BA15" s="136" t="str">
        <f ca="1">IF(COUNTA(W15),OFFSET($C15:W24,0,0,1,1),"")</f>
        <v/>
      </c>
      <c r="BB15" s="44" t="str">
        <f ca="1">IF(COUNTA(X15),OFFSET($C15:X24,0,0,1,1),"")</f>
        <v/>
      </c>
      <c r="BC15" s="44" t="str">
        <f ca="1">IF(COUNTA(Y15),OFFSET($C15:Y24,0,0,1,1),"")</f>
        <v/>
      </c>
      <c r="BD15" s="136" t="str">
        <f ca="1">IF(COUNTA(Z15),OFFSET($C15:Z24,0,0,1,1),"")</f>
        <v/>
      </c>
      <c r="BE15" s="136" t="str">
        <f ca="1">IF(COUNTA(AA15),OFFSET($C15:AA24,0,0,1,1),"")</f>
        <v/>
      </c>
      <c r="BF15" s="44" t="str">
        <f ca="1">IF(COUNTA(AB15),OFFSET($C15:AB24,0,0,1,1),"")</f>
        <v/>
      </c>
      <c r="BG15" s="44" t="str">
        <f ca="1">IF(COUNTA(AC15),OFFSET($C15:AC24,0,0,1,1),"")</f>
        <v/>
      </c>
      <c r="BH15" s="136" t="str">
        <f ca="1">IF(COUNTA(AD15),OFFSET($C15:AD24,0,0,1,1),"")</f>
        <v/>
      </c>
      <c r="BI15" s="136" t="str">
        <f ca="1">IF(COUNTA(AE15),OFFSET($C15:AE24,0,0,1,1),"")</f>
        <v/>
      </c>
    </row>
    <row r="16" spans="1:61" s="15" customFormat="1" ht="18.45" customHeight="1" x14ac:dyDescent="0.15">
      <c r="A16" s="215"/>
      <c r="B16" s="209"/>
      <c r="C16" s="92" t="s">
        <v>32</v>
      </c>
      <c r="D16" s="123"/>
      <c r="E16" s="45"/>
      <c r="F16" s="45"/>
      <c r="G16" s="45"/>
      <c r="H16" s="123" t="s">
        <v>183</v>
      </c>
      <c r="I16" s="45"/>
      <c r="J16" s="45" t="s">
        <v>183</v>
      </c>
      <c r="K16" s="45"/>
      <c r="L16" s="123"/>
      <c r="M16" s="45"/>
      <c r="N16" s="45"/>
      <c r="O16" s="45"/>
      <c r="P16" s="123"/>
      <c r="Q16" s="45"/>
      <c r="R16" s="45"/>
      <c r="S16" s="45"/>
      <c r="T16" s="123" t="s">
        <v>183</v>
      </c>
      <c r="U16" s="45"/>
      <c r="V16" s="45" t="s">
        <v>143</v>
      </c>
      <c r="W16" s="45"/>
      <c r="X16" s="123"/>
      <c r="Y16" s="45"/>
      <c r="Z16" s="45"/>
      <c r="AA16" s="45"/>
      <c r="AB16" s="123"/>
      <c r="AC16" s="45"/>
      <c r="AD16" s="45"/>
      <c r="AE16" s="168"/>
      <c r="AF16" s="36"/>
      <c r="AG16" s="18"/>
      <c r="AH16" s="44" t="str">
        <f ca="1">IF(COUNTA(D16),OFFSET($C16:D25,0,0,1,1),"")</f>
        <v/>
      </c>
      <c r="AI16" s="44" t="str">
        <f ca="1">IF(COUNTA(E16),OFFSET($C16:E25,0,0,1,1),"")</f>
        <v/>
      </c>
      <c r="AJ16" s="136" t="str">
        <f ca="1">IF(COUNTA(F16),OFFSET($C16:F25,0,0,1,1),"")</f>
        <v/>
      </c>
      <c r="AK16" s="136" t="str">
        <f ca="1">IF(COUNTA(G16),OFFSET($C16:G25,0,0,1,1),"")</f>
        <v/>
      </c>
      <c r="AL16" s="44" t="str">
        <f ca="1">IF(COUNTA(H16),OFFSET($C16:H25,0,0,1,1),"")</f>
        <v>Animation</v>
      </c>
      <c r="AM16" s="44" t="str">
        <f ca="1">IF(COUNTA(I16),OFFSET($C16:I25,0,0,1,1),"")</f>
        <v/>
      </c>
      <c r="AN16" s="136" t="str">
        <f ca="1">IF(COUNTA(J16),OFFSET($C16:J25,0,0,1,1),"")</f>
        <v>Animation</v>
      </c>
      <c r="AO16" s="136" t="str">
        <f ca="1">IF(COUNTA(K16),OFFSET($C16:K25,0,0,1,1),"")</f>
        <v/>
      </c>
      <c r="AP16" s="44" t="str">
        <f ca="1">IF(COUNTA(L16),OFFSET($C16:L25,0,0,1,1),"")</f>
        <v/>
      </c>
      <c r="AQ16" s="44" t="str">
        <f ca="1">IF(COUNTA(M16),OFFSET($C16:M25,0,0,1,1),"")</f>
        <v/>
      </c>
      <c r="AR16" s="136" t="str">
        <f ca="1">IF(COUNTA(N16),OFFSET($C16:N25,0,0,1,1),"")</f>
        <v/>
      </c>
      <c r="AS16" s="136" t="str">
        <f ca="1">IF(COUNTA(O16),OFFSET($C16:O25,0,0,1,1),"")</f>
        <v/>
      </c>
      <c r="AT16" s="44" t="str">
        <f ca="1">IF(COUNTA(P16),OFFSET($C16:P25,0,0,1,1),"")</f>
        <v/>
      </c>
      <c r="AU16" s="44" t="str">
        <f ca="1">IF(COUNTA(Q16),OFFSET($C16:Q25,0,0,1,1),"")</f>
        <v/>
      </c>
      <c r="AV16" s="136" t="str">
        <f ca="1">IF(COUNTA(R16),OFFSET($C16:R25,0,0,1,1),"")</f>
        <v/>
      </c>
      <c r="AW16" s="136" t="str">
        <f ca="1">IF(COUNTA(S16),OFFSET($C16:S25,0,0,1,1),"")</f>
        <v/>
      </c>
      <c r="AX16" s="44" t="str">
        <f ca="1">IF(COUNTA(T16),OFFSET($C16:T25,0,0,1,1),"")</f>
        <v>Animation</v>
      </c>
      <c r="AY16" s="44" t="str">
        <f ca="1">IF(COUNTA(U16),OFFSET($C16:U25,0,0,1,1),"")</f>
        <v/>
      </c>
      <c r="AZ16" s="136" t="str">
        <f ca="1">IF(COUNTA(V16),OFFSET($C16:V25,0,0,1,1),"")</f>
        <v>Animation</v>
      </c>
      <c r="BA16" s="136" t="str">
        <f ca="1">IF(COUNTA(W16),OFFSET($C16:W25,0,0,1,1),"")</f>
        <v/>
      </c>
      <c r="BB16" s="44" t="str">
        <f ca="1">IF(COUNTA(X16),OFFSET($C16:X25,0,0,1,1),"")</f>
        <v/>
      </c>
      <c r="BC16" s="44" t="str">
        <f ca="1">IF(COUNTA(Y16),OFFSET($C16:Y25,0,0,1,1),"")</f>
        <v/>
      </c>
      <c r="BD16" s="136" t="str">
        <f ca="1">IF(COUNTA(Z16),OFFSET($C16:Z25,0,0,1,1),"")</f>
        <v/>
      </c>
      <c r="BE16" s="136" t="str">
        <f ca="1">IF(COUNTA(AA16),OFFSET($C16:AA25,0,0,1,1),"")</f>
        <v/>
      </c>
      <c r="BF16" s="44" t="str">
        <f ca="1">IF(COUNTA(AB16),OFFSET($C16:AB25,0,0,1,1),"")</f>
        <v/>
      </c>
      <c r="BG16" s="44" t="str">
        <f ca="1">IF(COUNTA(AC16),OFFSET($C16:AC25,0,0,1,1),"")</f>
        <v/>
      </c>
      <c r="BH16" s="136" t="str">
        <f ca="1">IF(COUNTA(AD16),OFFSET($C16:AD25,0,0,1,1),"")</f>
        <v/>
      </c>
      <c r="BI16" s="136" t="str">
        <f ca="1">IF(COUNTA(AE16),OFFSET($C16:AE25,0,0,1,1),"")</f>
        <v/>
      </c>
    </row>
    <row r="17" spans="1:61" s="15" customFormat="1" ht="18.45" customHeight="1" x14ac:dyDescent="0.15">
      <c r="A17" s="215"/>
      <c r="B17" s="209"/>
      <c r="C17" s="92" t="s">
        <v>32</v>
      </c>
      <c r="D17" s="123"/>
      <c r="E17" s="45"/>
      <c r="F17" s="45"/>
      <c r="G17" s="45"/>
      <c r="H17" s="123"/>
      <c r="I17" s="45"/>
      <c r="J17" s="45"/>
      <c r="K17" s="45"/>
      <c r="L17" s="123"/>
      <c r="M17" s="45"/>
      <c r="N17" s="45"/>
      <c r="O17" s="45"/>
      <c r="P17" s="123"/>
      <c r="Q17" s="45"/>
      <c r="R17" s="45"/>
      <c r="S17" s="45"/>
      <c r="T17" s="123"/>
      <c r="U17" s="45"/>
      <c r="V17" s="45" t="s">
        <v>183</v>
      </c>
      <c r="W17" s="45"/>
      <c r="X17" s="123"/>
      <c r="Y17" s="45"/>
      <c r="Z17" s="45"/>
      <c r="AA17" s="45"/>
      <c r="AB17" s="123"/>
      <c r="AC17" s="45"/>
      <c r="AD17" s="45"/>
      <c r="AE17" s="168"/>
      <c r="AF17" s="36"/>
      <c r="AG17" s="18"/>
      <c r="AH17" s="44" t="str">
        <f ca="1">IF(COUNTA(D17),OFFSET($C17:D25,0,0,1,1),"")</f>
        <v/>
      </c>
      <c r="AI17" s="44" t="str">
        <f ca="1">IF(COUNTA(E17),OFFSET($C17:E25,0,0,1,1),"")</f>
        <v/>
      </c>
      <c r="AJ17" s="136" t="str">
        <f ca="1">IF(COUNTA(F17),OFFSET($C17:F25,0,0,1,1),"")</f>
        <v/>
      </c>
      <c r="AK17" s="136" t="str">
        <f ca="1">IF(COUNTA(G17),OFFSET($C17:G25,0,0,1,1),"")</f>
        <v/>
      </c>
      <c r="AL17" s="44" t="str">
        <f ca="1">IF(COUNTA(H17),OFFSET($C17:H25,0,0,1,1),"")</f>
        <v/>
      </c>
      <c r="AM17" s="44" t="str">
        <f ca="1">IF(COUNTA(I17),OFFSET($C17:I25,0,0,1,1),"")</f>
        <v/>
      </c>
      <c r="AN17" s="136" t="str">
        <f ca="1">IF(COUNTA(J17),OFFSET($C17:J25,0,0,1,1),"")</f>
        <v/>
      </c>
      <c r="AO17" s="136" t="str">
        <f ca="1">IF(COUNTA(K17),OFFSET($C17:K25,0,0,1,1),"")</f>
        <v/>
      </c>
      <c r="AP17" s="44" t="str">
        <f ca="1">IF(COUNTA(L17),OFFSET($C17:L25,0,0,1,1),"")</f>
        <v/>
      </c>
      <c r="AQ17" s="44" t="str">
        <f ca="1">IF(COUNTA(M17),OFFSET($C17:M25,0,0,1,1),"")</f>
        <v/>
      </c>
      <c r="AR17" s="136" t="str">
        <f ca="1">IF(COUNTA(N17),OFFSET($C17:N25,0,0,1,1),"")</f>
        <v/>
      </c>
      <c r="AS17" s="136" t="str">
        <f ca="1">IF(COUNTA(O17),OFFSET($C17:O25,0,0,1,1),"")</f>
        <v/>
      </c>
      <c r="AT17" s="44" t="str">
        <f ca="1">IF(COUNTA(P17),OFFSET($C17:P25,0,0,1,1),"")</f>
        <v/>
      </c>
      <c r="AU17" s="44" t="str">
        <f ca="1">IF(COUNTA(Q17),OFFSET($C17:Q25,0,0,1,1),"")</f>
        <v/>
      </c>
      <c r="AV17" s="136" t="str">
        <f ca="1">IF(COUNTA(R17),OFFSET($C17:R25,0,0,1,1),"")</f>
        <v/>
      </c>
      <c r="AW17" s="136" t="str">
        <f ca="1">IF(COUNTA(S17),OFFSET($C17:S25,0,0,1,1),"")</f>
        <v/>
      </c>
      <c r="AX17" s="44" t="str">
        <f ca="1">IF(COUNTA(T17),OFFSET($C17:T25,0,0,1,1),"")</f>
        <v/>
      </c>
      <c r="AY17" s="44" t="str">
        <f ca="1">IF(COUNTA(U17),OFFSET($C17:U25,0,0,1,1),"")</f>
        <v/>
      </c>
      <c r="AZ17" s="136" t="str">
        <f ca="1">IF(COUNTA(V17),OFFSET($C17:V25,0,0,1,1),"")</f>
        <v>Animation</v>
      </c>
      <c r="BA17" s="136" t="str">
        <f ca="1">IF(COUNTA(W17),OFFSET($C17:W25,0,0,1,1),"")</f>
        <v/>
      </c>
      <c r="BB17" s="44" t="str">
        <f ca="1">IF(COUNTA(X17),OFFSET($C17:X25,0,0,1,1),"")</f>
        <v/>
      </c>
      <c r="BC17" s="44" t="str">
        <f ca="1">IF(COUNTA(Y17),OFFSET($C17:Y25,0,0,1,1),"")</f>
        <v/>
      </c>
      <c r="BD17" s="136" t="str">
        <f ca="1">IF(COUNTA(Z17),OFFSET($C17:Z25,0,0,1,1),"")</f>
        <v/>
      </c>
      <c r="BE17" s="136" t="str">
        <f ca="1">IF(COUNTA(AA17),OFFSET($C17:AA25,0,0,1,1),"")</f>
        <v/>
      </c>
      <c r="BF17" s="44" t="str">
        <f ca="1">IF(COUNTA(AB17),OFFSET($C17:AB25,0,0,1,1),"")</f>
        <v/>
      </c>
      <c r="BG17" s="44" t="str">
        <f ca="1">IF(COUNTA(AC17),OFFSET($C17:AC25,0,0,1,1),"")</f>
        <v/>
      </c>
      <c r="BH17" s="136" t="str">
        <f ca="1">IF(COUNTA(AD17),OFFSET($C17:AD25,0,0,1,1),"")</f>
        <v/>
      </c>
      <c r="BI17" s="136" t="str">
        <f ca="1">IF(COUNTA(AE17),OFFSET($C17:AE25,0,0,1,1),"")</f>
        <v/>
      </c>
    </row>
    <row r="18" spans="1:61" s="15" customFormat="1" ht="18.45" hidden="1" customHeight="1" x14ac:dyDescent="0.15">
      <c r="A18" s="215"/>
      <c r="B18" s="209"/>
      <c r="C18" s="92" t="s">
        <v>32</v>
      </c>
      <c r="D18" s="123"/>
      <c r="E18" s="45"/>
      <c r="F18" s="45"/>
      <c r="G18" s="45"/>
      <c r="H18" s="123"/>
      <c r="I18" s="45"/>
      <c r="J18" s="45"/>
      <c r="K18" s="45"/>
      <c r="L18" s="123"/>
      <c r="M18" s="45"/>
      <c r="N18" s="45"/>
      <c r="O18" s="45"/>
      <c r="P18" s="123"/>
      <c r="Q18" s="45"/>
      <c r="R18" s="45"/>
      <c r="S18" s="45"/>
      <c r="T18" s="123"/>
      <c r="U18" s="45"/>
      <c r="V18" s="45"/>
      <c r="W18" s="45"/>
      <c r="X18" s="123"/>
      <c r="Y18" s="45"/>
      <c r="Z18" s="45"/>
      <c r="AA18" s="45"/>
      <c r="AB18" s="123"/>
      <c r="AC18" s="45"/>
      <c r="AD18" s="45"/>
      <c r="AE18" s="168"/>
      <c r="AF18" s="36"/>
      <c r="AG18" s="18"/>
      <c r="AH18" s="44" t="str">
        <f ca="1">IF(COUNTA(D18),OFFSET($C18:D22,0,0,1,1),"")</f>
        <v/>
      </c>
      <c r="AI18" s="44" t="str">
        <f ca="1">IF(COUNTA(E18),OFFSET($C18:E22,0,0,1,1),"")</f>
        <v/>
      </c>
      <c r="AJ18" s="136" t="str">
        <f ca="1">IF(COUNTA(F18),OFFSET($C18:F22,0,0,1,1),"")</f>
        <v/>
      </c>
      <c r="AK18" s="136" t="str">
        <f ca="1">IF(COUNTA(G18),OFFSET($C18:G22,0,0,1,1),"")</f>
        <v/>
      </c>
      <c r="AL18" s="44" t="str">
        <f ca="1">IF(COUNTA(H18),OFFSET($C18:H22,0,0,1,1),"")</f>
        <v/>
      </c>
      <c r="AM18" s="44" t="str">
        <f ca="1">IF(COUNTA(I18),OFFSET($C18:I22,0,0,1,1),"")</f>
        <v/>
      </c>
      <c r="AN18" s="136" t="str">
        <f ca="1">IF(COUNTA(J18),OFFSET($C18:J22,0,0,1,1),"")</f>
        <v/>
      </c>
      <c r="AO18" s="136" t="str">
        <f ca="1">IF(COUNTA(K18),OFFSET($C18:K22,0,0,1,1),"")</f>
        <v/>
      </c>
      <c r="AP18" s="44" t="str">
        <f ca="1">IF(COUNTA(L18),OFFSET($C18:L22,0,0,1,1),"")</f>
        <v/>
      </c>
      <c r="AQ18" s="44" t="str">
        <f ca="1">IF(COUNTA(M18),OFFSET($C18:M22,0,0,1,1),"")</f>
        <v/>
      </c>
      <c r="AR18" s="136" t="str">
        <f ca="1">IF(COUNTA(N18),OFFSET($C18:N22,0,0,1,1),"")</f>
        <v/>
      </c>
      <c r="AS18" s="136" t="str">
        <f ca="1">IF(COUNTA(O18),OFFSET($C18:O22,0,0,1,1),"")</f>
        <v/>
      </c>
      <c r="AT18" s="44" t="str">
        <f ca="1">IF(COUNTA(P18),OFFSET($C18:P22,0,0,1,1),"")</f>
        <v/>
      </c>
      <c r="AU18" s="44" t="str">
        <f ca="1">IF(COUNTA(Q18),OFFSET($C18:Q22,0,0,1,1),"")</f>
        <v/>
      </c>
      <c r="AV18" s="136" t="str">
        <f ca="1">IF(COUNTA(R18),OFFSET($C18:R22,0,0,1,1),"")</f>
        <v/>
      </c>
      <c r="AW18" s="136" t="str">
        <f ca="1">IF(COUNTA(S18),OFFSET($C18:S22,0,0,1,1),"")</f>
        <v/>
      </c>
      <c r="AX18" s="44" t="str">
        <f ca="1">IF(COUNTA(T18),OFFSET($C18:T22,0,0,1,1),"")</f>
        <v/>
      </c>
      <c r="AY18" s="44" t="str">
        <f ca="1">IF(COUNTA(U18),OFFSET($C18:U22,0,0,1,1),"")</f>
        <v/>
      </c>
      <c r="AZ18" s="136" t="str">
        <f ca="1">IF(COUNTA(V18),OFFSET($C18:V22,0,0,1,1),"")</f>
        <v/>
      </c>
      <c r="BA18" s="136" t="str">
        <f ca="1">IF(COUNTA(W18),OFFSET($C18:W22,0,0,1,1),"")</f>
        <v/>
      </c>
      <c r="BB18" s="44" t="str">
        <f ca="1">IF(COUNTA(X18),OFFSET($C18:X22,0,0,1,1),"")</f>
        <v/>
      </c>
      <c r="BC18" s="44" t="str">
        <f ca="1">IF(COUNTA(Y18),OFFSET($C18:Y22,0,0,1,1),"")</f>
        <v/>
      </c>
      <c r="BD18" s="136" t="str">
        <f ca="1">IF(COUNTA(Z18),OFFSET($C18:Z22,0,0,1,1),"")</f>
        <v/>
      </c>
      <c r="BE18" s="136" t="str">
        <f ca="1">IF(COUNTA(AA18),OFFSET($C18:AA22,0,0,1,1),"")</f>
        <v/>
      </c>
      <c r="BF18" s="44" t="str">
        <f ca="1">IF(COUNTA(AB18),OFFSET($C18:AB22,0,0,1,1),"")</f>
        <v/>
      </c>
      <c r="BG18" s="44" t="str">
        <f ca="1">IF(COUNTA(AC18),OFFSET($C18:AC22,0,0,1,1),"")</f>
        <v/>
      </c>
      <c r="BH18" s="136" t="str">
        <f ca="1">IF(COUNTA(AD18),OFFSET($C18:AD22,0,0,1,1),"")</f>
        <v/>
      </c>
      <c r="BI18" s="136" t="str">
        <f ca="1">IF(COUNTA(AE18),OFFSET($C18:AE22,0,0,1,1),"")</f>
        <v/>
      </c>
    </row>
    <row r="19" spans="1:61" s="15" customFormat="1" ht="18.45" hidden="1" customHeight="1" x14ac:dyDescent="0.15">
      <c r="A19" s="215"/>
      <c r="B19" s="209"/>
      <c r="C19" s="92" t="s">
        <v>32</v>
      </c>
      <c r="D19" s="123"/>
      <c r="E19" s="45"/>
      <c r="F19" s="45"/>
      <c r="G19" s="45"/>
      <c r="H19" s="123"/>
      <c r="I19" s="45"/>
      <c r="J19" s="45"/>
      <c r="K19" s="45"/>
      <c r="L19" s="123"/>
      <c r="M19" s="45"/>
      <c r="N19" s="45"/>
      <c r="O19" s="45"/>
      <c r="P19" s="123"/>
      <c r="Q19" s="45"/>
      <c r="R19" s="45"/>
      <c r="S19" s="45"/>
      <c r="T19" s="123"/>
      <c r="U19" s="45"/>
      <c r="V19" s="45"/>
      <c r="W19" s="45"/>
      <c r="X19" s="123"/>
      <c r="Y19" s="45"/>
      <c r="Z19" s="45"/>
      <c r="AA19" s="45"/>
      <c r="AB19" s="123"/>
      <c r="AC19" s="45"/>
      <c r="AD19" s="45"/>
      <c r="AE19" s="168"/>
      <c r="AF19" s="36"/>
      <c r="AG19" s="18"/>
      <c r="AH19" s="44" t="str">
        <f ca="1">IF(COUNTA(D19),OFFSET($C19:D23,0,0,1,1),"")</f>
        <v/>
      </c>
      <c r="AI19" s="44" t="str">
        <f ca="1">IF(COUNTA(E19),OFFSET($C19:E23,0,0,1,1),"")</f>
        <v/>
      </c>
      <c r="AJ19" s="136" t="str">
        <f ca="1">IF(COUNTA(F19),OFFSET($C19:F23,0,0,1,1),"")</f>
        <v/>
      </c>
      <c r="AK19" s="136" t="str">
        <f ca="1">IF(COUNTA(G19),OFFSET($C19:G23,0,0,1,1),"")</f>
        <v/>
      </c>
      <c r="AL19" s="44" t="str">
        <f ca="1">IF(COUNTA(H19),OFFSET($C19:H23,0,0,1,1),"")</f>
        <v/>
      </c>
      <c r="AM19" s="44" t="str">
        <f ca="1">IF(COUNTA(I19),OFFSET($C19:I23,0,0,1,1),"")</f>
        <v/>
      </c>
      <c r="AN19" s="136" t="str">
        <f ca="1">IF(COUNTA(J19),OFFSET($C19:J23,0,0,1,1),"")</f>
        <v/>
      </c>
      <c r="AO19" s="136" t="str">
        <f ca="1">IF(COUNTA(K19),OFFSET($C19:K23,0,0,1,1),"")</f>
        <v/>
      </c>
      <c r="AP19" s="44" t="str">
        <f ca="1">IF(COUNTA(L19),OFFSET($C19:L23,0,0,1,1),"")</f>
        <v/>
      </c>
      <c r="AQ19" s="44" t="str">
        <f ca="1">IF(COUNTA(M19),OFFSET($C19:M23,0,0,1,1),"")</f>
        <v/>
      </c>
      <c r="AR19" s="136" t="str">
        <f ca="1">IF(COUNTA(N19),OFFSET($C19:N23,0,0,1,1),"")</f>
        <v/>
      </c>
      <c r="AS19" s="136" t="str">
        <f ca="1">IF(COUNTA(O19),OFFSET($C19:O23,0,0,1,1),"")</f>
        <v/>
      </c>
      <c r="AT19" s="44" t="str">
        <f ca="1">IF(COUNTA(P19),OFFSET($C19:P23,0,0,1,1),"")</f>
        <v/>
      </c>
      <c r="AU19" s="44" t="str">
        <f ca="1">IF(COUNTA(Q19),OFFSET($C19:Q23,0,0,1,1),"")</f>
        <v/>
      </c>
      <c r="AV19" s="136" t="str">
        <f ca="1">IF(COUNTA(R19),OFFSET($C19:R23,0,0,1,1),"")</f>
        <v/>
      </c>
      <c r="AW19" s="136" t="str">
        <f ca="1">IF(COUNTA(S19),OFFSET($C19:S23,0,0,1,1),"")</f>
        <v/>
      </c>
      <c r="AX19" s="44" t="str">
        <f ca="1">IF(COUNTA(T19),OFFSET($C19:T23,0,0,1,1),"")</f>
        <v/>
      </c>
      <c r="AY19" s="44" t="str">
        <f ca="1">IF(COUNTA(U19),OFFSET($C19:U23,0,0,1,1),"")</f>
        <v/>
      </c>
      <c r="AZ19" s="136" t="str">
        <f ca="1">IF(COUNTA(V19),OFFSET($C19:V23,0,0,1,1),"")</f>
        <v/>
      </c>
      <c r="BA19" s="136" t="str">
        <f ca="1">IF(COUNTA(W19),OFFSET($C19:W23,0,0,1,1),"")</f>
        <v/>
      </c>
      <c r="BB19" s="44" t="str">
        <f ca="1">IF(COUNTA(X19),OFFSET($C19:X23,0,0,1,1),"")</f>
        <v/>
      </c>
      <c r="BC19" s="44" t="str">
        <f ca="1">IF(COUNTA(Y19),OFFSET($C19:Y23,0,0,1,1),"")</f>
        <v/>
      </c>
      <c r="BD19" s="136" t="str">
        <f ca="1">IF(COUNTA(Z19),OFFSET($C19:Z23,0,0,1,1),"")</f>
        <v/>
      </c>
      <c r="BE19" s="136" t="str">
        <f ca="1">IF(COUNTA(AA19),OFFSET($C19:AA23,0,0,1,1),"")</f>
        <v/>
      </c>
      <c r="BF19" s="44" t="str">
        <f ca="1">IF(COUNTA(AB19),OFFSET($C19:AB23,0,0,1,1),"")</f>
        <v/>
      </c>
      <c r="BG19" s="44" t="str">
        <f ca="1">IF(COUNTA(AC19),OFFSET($C19:AC23,0,0,1,1),"")</f>
        <v/>
      </c>
      <c r="BH19" s="136" t="str">
        <f ca="1">IF(COUNTA(AD19),OFFSET($C19:AD23,0,0,1,1),"")</f>
        <v/>
      </c>
      <c r="BI19" s="136" t="str">
        <f ca="1">IF(COUNTA(AE19),OFFSET($C19:AE23,0,0,1,1),"")</f>
        <v/>
      </c>
    </row>
    <row r="20" spans="1:61" s="15" customFormat="1" ht="18.45" hidden="1" customHeight="1" x14ac:dyDescent="0.15">
      <c r="A20" s="215"/>
      <c r="B20" s="209"/>
      <c r="C20" s="92" t="s">
        <v>32</v>
      </c>
      <c r="D20" s="123"/>
      <c r="E20" s="45"/>
      <c r="F20" s="45"/>
      <c r="G20" s="45"/>
      <c r="H20" s="123"/>
      <c r="I20" s="45"/>
      <c r="J20" s="45"/>
      <c r="K20" s="45"/>
      <c r="L20" s="123"/>
      <c r="M20" s="45"/>
      <c r="N20" s="45"/>
      <c r="O20" s="45"/>
      <c r="P20" s="123"/>
      <c r="Q20" s="45"/>
      <c r="R20" s="45"/>
      <c r="S20" s="45"/>
      <c r="T20" s="123"/>
      <c r="U20" s="45"/>
      <c r="V20" s="45"/>
      <c r="W20" s="45"/>
      <c r="X20" s="123"/>
      <c r="Y20" s="45"/>
      <c r="Z20" s="45"/>
      <c r="AA20" s="45"/>
      <c r="AB20" s="123"/>
      <c r="AC20" s="45"/>
      <c r="AD20" s="45"/>
      <c r="AE20" s="168"/>
      <c r="AF20" s="36"/>
      <c r="AG20" s="18"/>
      <c r="AH20" s="44" t="str">
        <f ca="1">IF(COUNTA(D20),OFFSET($C20:D24,0,0,1,1),"")</f>
        <v/>
      </c>
      <c r="AI20" s="44" t="str">
        <f ca="1">IF(COUNTA(E20),OFFSET($C20:E24,0,0,1,1),"")</f>
        <v/>
      </c>
      <c r="AJ20" s="136" t="str">
        <f ca="1">IF(COUNTA(F20),OFFSET($C20:F24,0,0,1,1),"")</f>
        <v/>
      </c>
      <c r="AK20" s="136" t="str">
        <f ca="1">IF(COUNTA(G20),OFFSET($C20:G24,0,0,1,1),"")</f>
        <v/>
      </c>
      <c r="AL20" s="44" t="str">
        <f ca="1">IF(COUNTA(H20),OFFSET($C20:H24,0,0,1,1),"")</f>
        <v/>
      </c>
      <c r="AM20" s="44" t="str">
        <f ca="1">IF(COUNTA(I20),OFFSET($C20:I24,0,0,1,1),"")</f>
        <v/>
      </c>
      <c r="AN20" s="136" t="str">
        <f ca="1">IF(COUNTA(J20),OFFSET($C20:J24,0,0,1,1),"")</f>
        <v/>
      </c>
      <c r="AO20" s="136" t="str">
        <f ca="1">IF(COUNTA(K20),OFFSET($C20:K24,0,0,1,1),"")</f>
        <v/>
      </c>
      <c r="AP20" s="44" t="str">
        <f ca="1">IF(COUNTA(L20),OFFSET($C20:L24,0,0,1,1),"")</f>
        <v/>
      </c>
      <c r="AQ20" s="44" t="str">
        <f ca="1">IF(COUNTA(M20),OFFSET($C20:M24,0,0,1,1),"")</f>
        <v/>
      </c>
      <c r="AR20" s="136" t="str">
        <f ca="1">IF(COUNTA(N20),OFFSET($C20:N24,0,0,1,1),"")</f>
        <v/>
      </c>
      <c r="AS20" s="136" t="str">
        <f ca="1">IF(COUNTA(O20),OFFSET($C20:O24,0,0,1,1),"")</f>
        <v/>
      </c>
      <c r="AT20" s="44" t="str">
        <f ca="1">IF(COUNTA(P20),OFFSET($C20:P24,0,0,1,1),"")</f>
        <v/>
      </c>
      <c r="AU20" s="44" t="str">
        <f ca="1">IF(COUNTA(Q20),OFFSET($C20:Q24,0,0,1,1),"")</f>
        <v/>
      </c>
      <c r="AV20" s="136" t="str">
        <f ca="1">IF(COUNTA(R20),OFFSET($C20:R24,0,0,1,1),"")</f>
        <v/>
      </c>
      <c r="AW20" s="136" t="str">
        <f ca="1">IF(COUNTA(S20),OFFSET($C20:S24,0,0,1,1),"")</f>
        <v/>
      </c>
      <c r="AX20" s="44" t="str">
        <f ca="1">IF(COUNTA(T20),OFFSET($C20:T24,0,0,1,1),"")</f>
        <v/>
      </c>
      <c r="AY20" s="44" t="str">
        <f ca="1">IF(COUNTA(U20),OFFSET($C20:U24,0,0,1,1),"")</f>
        <v/>
      </c>
      <c r="AZ20" s="136" t="str">
        <f ca="1">IF(COUNTA(V20),OFFSET($C20:V24,0,0,1,1),"")</f>
        <v/>
      </c>
      <c r="BA20" s="136" t="str">
        <f ca="1">IF(COUNTA(W20),OFFSET($C20:W24,0,0,1,1),"")</f>
        <v/>
      </c>
      <c r="BB20" s="44" t="str">
        <f ca="1">IF(COUNTA(X20),OFFSET($C20:X24,0,0,1,1),"")</f>
        <v/>
      </c>
      <c r="BC20" s="44" t="str">
        <f ca="1">IF(COUNTA(Y20),OFFSET($C20:Y24,0,0,1,1),"")</f>
        <v/>
      </c>
      <c r="BD20" s="136" t="str">
        <f ca="1">IF(COUNTA(Z20),OFFSET($C20:Z24,0,0,1,1),"")</f>
        <v/>
      </c>
      <c r="BE20" s="136" t="str">
        <f ca="1">IF(COUNTA(AA20),OFFSET($C20:AA24,0,0,1,1),"")</f>
        <v/>
      </c>
      <c r="BF20" s="44" t="str">
        <f ca="1">IF(COUNTA(AB20),OFFSET($C20:AB24,0,0,1,1),"")</f>
        <v/>
      </c>
      <c r="BG20" s="44" t="str">
        <f ca="1">IF(COUNTA(AC20),OFFSET($C20:AC24,0,0,1,1),"")</f>
        <v/>
      </c>
      <c r="BH20" s="136" t="str">
        <f ca="1">IF(COUNTA(AD20),OFFSET($C20:AD24,0,0,1,1),"")</f>
        <v/>
      </c>
      <c r="BI20" s="136" t="str">
        <f ca="1">IF(COUNTA(AE20),OFFSET($C20:AE24,0,0,1,1),"")</f>
        <v/>
      </c>
    </row>
    <row r="21" spans="1:61" s="15" customFormat="1" ht="18.45" hidden="1" customHeight="1" x14ac:dyDescent="0.15">
      <c r="A21" s="215"/>
      <c r="B21" s="209"/>
      <c r="C21" s="92" t="s">
        <v>32</v>
      </c>
      <c r="D21" s="123"/>
      <c r="E21" s="45"/>
      <c r="F21" s="45"/>
      <c r="G21" s="45"/>
      <c r="H21" s="123"/>
      <c r="I21" s="45"/>
      <c r="J21" s="45"/>
      <c r="K21" s="45"/>
      <c r="L21" s="123"/>
      <c r="M21" s="45"/>
      <c r="N21" s="45"/>
      <c r="O21" s="45"/>
      <c r="P21" s="123"/>
      <c r="Q21" s="45"/>
      <c r="R21" s="45"/>
      <c r="S21" s="45"/>
      <c r="T21" s="123"/>
      <c r="U21" s="45"/>
      <c r="V21" s="45"/>
      <c r="W21" s="45"/>
      <c r="X21" s="123"/>
      <c r="Y21" s="45"/>
      <c r="Z21" s="45"/>
      <c r="AA21" s="45"/>
      <c r="AB21" s="123"/>
      <c r="AC21" s="45"/>
      <c r="AD21" s="45"/>
      <c r="AE21" s="168"/>
      <c r="AF21" s="36"/>
      <c r="AG21" s="18"/>
      <c r="AH21" s="44" t="str">
        <f ca="1">IF(COUNTA(D21),OFFSET($C21:D25,0,0,1,1),"")</f>
        <v/>
      </c>
      <c r="AI21" s="44" t="str">
        <f ca="1">IF(COUNTA(E21),OFFSET($C21:E25,0,0,1,1),"")</f>
        <v/>
      </c>
      <c r="AJ21" s="136" t="str">
        <f ca="1">IF(COUNTA(F21),OFFSET($C21:F25,0,0,1,1),"")</f>
        <v/>
      </c>
      <c r="AK21" s="136" t="str">
        <f ca="1">IF(COUNTA(G21),OFFSET($C21:G25,0,0,1,1),"")</f>
        <v/>
      </c>
      <c r="AL21" s="44" t="str">
        <f ca="1">IF(COUNTA(H21),OFFSET($C21:H25,0,0,1,1),"")</f>
        <v/>
      </c>
      <c r="AM21" s="44" t="str">
        <f ca="1">IF(COUNTA(I21),OFFSET($C21:I25,0,0,1,1),"")</f>
        <v/>
      </c>
      <c r="AN21" s="136" t="str">
        <f ca="1">IF(COUNTA(J21),OFFSET($C21:J25,0,0,1,1),"")</f>
        <v/>
      </c>
      <c r="AO21" s="136" t="str">
        <f ca="1">IF(COUNTA(K21),OFFSET($C21:K25,0,0,1,1),"")</f>
        <v/>
      </c>
      <c r="AP21" s="44" t="str">
        <f ca="1">IF(COUNTA(L21),OFFSET($C21:L25,0,0,1,1),"")</f>
        <v/>
      </c>
      <c r="AQ21" s="44" t="str">
        <f ca="1">IF(COUNTA(M21),OFFSET($C21:M25,0,0,1,1),"")</f>
        <v/>
      </c>
      <c r="AR21" s="136" t="str">
        <f ca="1">IF(COUNTA(N21),OFFSET($C21:N25,0,0,1,1),"")</f>
        <v/>
      </c>
      <c r="AS21" s="136" t="str">
        <f ca="1">IF(COUNTA(O21),OFFSET($C21:O25,0,0,1,1),"")</f>
        <v/>
      </c>
      <c r="AT21" s="44" t="str">
        <f ca="1">IF(COUNTA(P21),OFFSET($C21:P25,0,0,1,1),"")</f>
        <v/>
      </c>
      <c r="AU21" s="44" t="str">
        <f ca="1">IF(COUNTA(Q21),OFFSET($C21:Q25,0,0,1,1),"")</f>
        <v/>
      </c>
      <c r="AV21" s="136" t="str">
        <f ca="1">IF(COUNTA(R21),OFFSET($C21:R25,0,0,1,1),"")</f>
        <v/>
      </c>
      <c r="AW21" s="136" t="str">
        <f ca="1">IF(COUNTA(S21),OFFSET($C21:S25,0,0,1,1),"")</f>
        <v/>
      </c>
      <c r="AX21" s="44" t="str">
        <f ca="1">IF(COUNTA(T21),OFFSET($C21:T25,0,0,1,1),"")</f>
        <v/>
      </c>
      <c r="AY21" s="44" t="str">
        <f ca="1">IF(COUNTA(U21),OFFSET($C21:U25,0,0,1,1),"")</f>
        <v/>
      </c>
      <c r="AZ21" s="136" t="str">
        <f ca="1">IF(COUNTA(V21),OFFSET($C21:V25,0,0,1,1),"")</f>
        <v/>
      </c>
      <c r="BA21" s="136" t="str">
        <f ca="1">IF(COUNTA(W21),OFFSET($C21:W25,0,0,1,1),"")</f>
        <v/>
      </c>
      <c r="BB21" s="44" t="str">
        <f ca="1">IF(COUNTA(X21),OFFSET($C21:X25,0,0,1,1),"")</f>
        <v/>
      </c>
      <c r="BC21" s="44" t="str">
        <f ca="1">IF(COUNTA(Y21),OFFSET($C21:Y25,0,0,1,1),"")</f>
        <v/>
      </c>
      <c r="BD21" s="136" t="str">
        <f ca="1">IF(COUNTA(Z21),OFFSET($C21:Z25,0,0,1,1),"")</f>
        <v/>
      </c>
      <c r="BE21" s="136" t="str">
        <f ca="1">IF(COUNTA(AA21),OFFSET($C21:AA25,0,0,1,1),"")</f>
        <v/>
      </c>
      <c r="BF21" s="44" t="str">
        <f ca="1">IF(COUNTA(AB21),OFFSET($C21:AB25,0,0,1,1),"")</f>
        <v/>
      </c>
      <c r="BG21" s="44" t="str">
        <f ca="1">IF(COUNTA(AC21),OFFSET($C21:AC25,0,0,1,1),"")</f>
        <v/>
      </c>
      <c r="BH21" s="136" t="str">
        <f ca="1">IF(COUNTA(AD21),OFFSET($C21:AD25,0,0,1,1),"")</f>
        <v/>
      </c>
      <c r="BI21" s="136" t="str">
        <f ca="1">IF(COUNTA(AE21),OFFSET($C21:AE25,0,0,1,1),"")</f>
        <v/>
      </c>
    </row>
    <row r="22" spans="1:61" s="15" customFormat="1" ht="18.45" hidden="1" customHeight="1" x14ac:dyDescent="0.15">
      <c r="A22" s="215"/>
      <c r="B22" s="209"/>
      <c r="C22" s="92" t="s">
        <v>32</v>
      </c>
      <c r="D22" s="123"/>
      <c r="E22" s="45"/>
      <c r="F22" s="45"/>
      <c r="G22" s="45"/>
      <c r="H22" s="123"/>
      <c r="I22" s="45"/>
      <c r="J22" s="45"/>
      <c r="K22" s="45"/>
      <c r="L22" s="123"/>
      <c r="M22" s="45"/>
      <c r="N22" s="45"/>
      <c r="O22" s="45"/>
      <c r="P22" s="123"/>
      <c r="Q22" s="45"/>
      <c r="R22" s="45"/>
      <c r="S22" s="45"/>
      <c r="T22" s="123"/>
      <c r="U22" s="45"/>
      <c r="V22" s="45"/>
      <c r="W22" s="45"/>
      <c r="X22" s="123"/>
      <c r="Y22" s="45"/>
      <c r="Z22" s="45"/>
      <c r="AA22" s="45"/>
      <c r="AB22" s="123"/>
      <c r="AC22" s="45"/>
      <c r="AD22" s="45"/>
      <c r="AE22" s="168"/>
      <c r="AF22" s="36"/>
      <c r="AG22" s="18"/>
      <c r="AH22" s="44" t="str">
        <f ca="1">IF(COUNTA(D22),OFFSET($C22:D32,0,0,1,1),"")</f>
        <v/>
      </c>
      <c r="AI22" s="44" t="str">
        <f ca="1">IF(COUNTA(E22),OFFSET($C22:E32,0,0,1,1),"")</f>
        <v/>
      </c>
      <c r="AJ22" s="136" t="str">
        <f ca="1">IF(COUNTA(F22),OFFSET($C22:F32,0,0,1,1),"")</f>
        <v/>
      </c>
      <c r="AK22" s="136" t="str">
        <f ca="1">IF(COUNTA(G22),OFFSET($C22:G32,0,0,1,1),"")</f>
        <v/>
      </c>
      <c r="AL22" s="44" t="str">
        <f ca="1">IF(COUNTA(H22),OFFSET($C22:H32,0,0,1,1),"")</f>
        <v/>
      </c>
      <c r="AM22" s="44" t="str">
        <f ca="1">IF(COUNTA(I22),OFFSET($C22:I32,0,0,1,1),"")</f>
        <v/>
      </c>
      <c r="AN22" s="136" t="str">
        <f ca="1">IF(COUNTA(J22),OFFSET($C22:J32,0,0,1,1),"")</f>
        <v/>
      </c>
      <c r="AO22" s="136" t="str">
        <f ca="1">IF(COUNTA(K22),OFFSET($C22:K32,0,0,1,1),"")</f>
        <v/>
      </c>
      <c r="AP22" s="44" t="str">
        <f ca="1">IF(COUNTA(L22),OFFSET($C22:L32,0,0,1,1),"")</f>
        <v/>
      </c>
      <c r="AQ22" s="44" t="str">
        <f ca="1">IF(COUNTA(M22),OFFSET($C22:M32,0,0,1,1),"")</f>
        <v/>
      </c>
      <c r="AR22" s="136" t="str">
        <f ca="1">IF(COUNTA(N22),OFFSET($C22:N32,0,0,1,1),"")</f>
        <v/>
      </c>
      <c r="AS22" s="136" t="str">
        <f ca="1">IF(COUNTA(O22),OFFSET($C22:O32,0,0,1,1),"")</f>
        <v/>
      </c>
      <c r="AT22" s="44" t="str">
        <f ca="1">IF(COUNTA(P22),OFFSET($C22:P32,0,0,1,1),"")</f>
        <v/>
      </c>
      <c r="AU22" s="44" t="str">
        <f ca="1">IF(COUNTA(Q22),OFFSET($C22:Q32,0,0,1,1),"")</f>
        <v/>
      </c>
      <c r="AV22" s="136" t="str">
        <f ca="1">IF(COUNTA(R22),OFFSET($C22:R32,0,0,1,1),"")</f>
        <v/>
      </c>
      <c r="AW22" s="136" t="str">
        <f ca="1">IF(COUNTA(S22),OFFSET($C22:S32,0,0,1,1),"")</f>
        <v/>
      </c>
      <c r="AX22" s="44" t="str">
        <f ca="1">IF(COUNTA(T22),OFFSET($C22:T32,0,0,1,1),"")</f>
        <v/>
      </c>
      <c r="AY22" s="44" t="str">
        <f ca="1">IF(COUNTA(U22),OFFSET($C22:U32,0,0,1,1),"")</f>
        <v/>
      </c>
      <c r="AZ22" s="136" t="str">
        <f ca="1">IF(COUNTA(V22),OFFSET($C22:V32,0,0,1,1),"")</f>
        <v/>
      </c>
      <c r="BA22" s="136" t="str">
        <f ca="1">IF(COUNTA(W22),OFFSET($C22:W32,0,0,1,1),"")</f>
        <v/>
      </c>
      <c r="BB22" s="44" t="str">
        <f ca="1">IF(COUNTA(X22),OFFSET($C22:X32,0,0,1,1),"")</f>
        <v/>
      </c>
      <c r="BC22" s="44" t="str">
        <f ca="1">IF(COUNTA(Y22),OFFSET($C22:Y32,0,0,1,1),"")</f>
        <v/>
      </c>
      <c r="BD22" s="136" t="str">
        <f ca="1">IF(COUNTA(Z22),OFFSET($C22:Z32,0,0,1,1),"")</f>
        <v/>
      </c>
      <c r="BE22" s="136" t="str">
        <f ca="1">IF(COUNTA(AA22),OFFSET($C22:AA32,0,0,1,1),"")</f>
        <v/>
      </c>
      <c r="BF22" s="44" t="str">
        <f ca="1">IF(COUNTA(AB22),OFFSET($C22:AB32,0,0,1,1),"")</f>
        <v/>
      </c>
      <c r="BG22" s="44" t="str">
        <f ca="1">IF(COUNTA(AC22),OFFSET($C22:AC32,0,0,1,1),"")</f>
        <v/>
      </c>
      <c r="BH22" s="136" t="str">
        <f ca="1">IF(COUNTA(AD22),OFFSET($C22:AD32,0,0,1,1),"")</f>
        <v/>
      </c>
      <c r="BI22" s="136" t="str">
        <f ca="1">IF(COUNTA(AE22),OFFSET($C22:AE32,0,0,1,1),"")</f>
        <v/>
      </c>
    </row>
    <row r="23" spans="1:61" s="15" customFormat="1" ht="18.45" hidden="1" customHeight="1" x14ac:dyDescent="0.15">
      <c r="A23" s="215"/>
      <c r="B23" s="210"/>
      <c r="C23" s="93" t="s">
        <v>32</v>
      </c>
      <c r="D23" s="125"/>
      <c r="E23" s="47"/>
      <c r="F23" s="47"/>
      <c r="G23" s="47"/>
      <c r="H23" s="125"/>
      <c r="I23" s="47"/>
      <c r="J23" s="47"/>
      <c r="K23" s="47"/>
      <c r="L23" s="125"/>
      <c r="M23" s="47"/>
      <c r="N23" s="47"/>
      <c r="O23" s="47"/>
      <c r="P23" s="125"/>
      <c r="Q23" s="47"/>
      <c r="R23" s="47"/>
      <c r="S23" s="47"/>
      <c r="T23" s="125"/>
      <c r="U23" s="47"/>
      <c r="V23" s="47"/>
      <c r="W23" s="47"/>
      <c r="X23" s="125"/>
      <c r="Y23" s="47"/>
      <c r="Z23" s="47"/>
      <c r="AA23" s="47"/>
      <c r="AB23" s="125"/>
      <c r="AC23" s="47"/>
      <c r="AD23" s="47"/>
      <c r="AE23" s="170"/>
      <c r="AF23" s="36"/>
      <c r="AG23" s="18"/>
      <c r="AH23" s="46" t="str">
        <f ca="1">IF(COUNTA(D23),OFFSET($C23:D32,0,0,1,1),"")</f>
        <v/>
      </c>
      <c r="AI23" s="46" t="str">
        <f ca="1">IF(COUNTA(E23),OFFSET($C23:E32,0,0,1,1),"")</f>
        <v/>
      </c>
      <c r="AJ23" s="138" t="str">
        <f ca="1">IF(COUNTA(F23),OFFSET($C23:F32,0,0,1,1),"")</f>
        <v/>
      </c>
      <c r="AK23" s="138" t="str">
        <f ca="1">IF(COUNTA(G23),OFFSET($C23:G32,0,0,1,1),"")</f>
        <v/>
      </c>
      <c r="AL23" s="46" t="str">
        <f ca="1">IF(COUNTA(H23),OFFSET($C23:H32,0,0,1,1),"")</f>
        <v/>
      </c>
      <c r="AM23" s="46" t="str">
        <f ca="1">IF(COUNTA(I23),OFFSET($C23:I32,0,0,1,1),"")</f>
        <v/>
      </c>
      <c r="AN23" s="138" t="str">
        <f ca="1">IF(COUNTA(J23),OFFSET($C23:J32,0,0,1,1),"")</f>
        <v/>
      </c>
      <c r="AO23" s="138" t="str">
        <f ca="1">IF(COUNTA(K23),OFFSET($C23:K32,0,0,1,1),"")</f>
        <v/>
      </c>
      <c r="AP23" s="46" t="str">
        <f ca="1">IF(COUNTA(L23),OFFSET($C23:L32,0,0,1,1),"")</f>
        <v/>
      </c>
      <c r="AQ23" s="46" t="str">
        <f ca="1">IF(COUNTA(M23),OFFSET($C23:M32,0,0,1,1),"")</f>
        <v/>
      </c>
      <c r="AR23" s="138" t="str">
        <f ca="1">IF(COUNTA(N23),OFFSET($C23:N32,0,0,1,1),"")</f>
        <v/>
      </c>
      <c r="AS23" s="138" t="str">
        <f ca="1">IF(COUNTA(O23),OFFSET($C23:O32,0,0,1,1),"")</f>
        <v/>
      </c>
      <c r="AT23" s="46" t="str">
        <f ca="1">IF(COUNTA(P23),OFFSET($C23:P32,0,0,1,1),"")</f>
        <v/>
      </c>
      <c r="AU23" s="46" t="str">
        <f ca="1">IF(COUNTA(Q23),OFFSET($C23:Q32,0,0,1,1),"")</f>
        <v/>
      </c>
      <c r="AV23" s="138" t="str">
        <f ca="1">IF(COUNTA(R23),OFFSET($C23:R32,0,0,1,1),"")</f>
        <v/>
      </c>
      <c r="AW23" s="138" t="str">
        <f ca="1">IF(COUNTA(S23),OFFSET($C23:S32,0,0,1,1),"")</f>
        <v/>
      </c>
      <c r="AX23" s="46" t="str">
        <f ca="1">IF(COUNTA(T23),OFFSET($C23:T32,0,0,1,1),"")</f>
        <v/>
      </c>
      <c r="AY23" s="46" t="str">
        <f ca="1">IF(COUNTA(U23),OFFSET($C23:U32,0,0,1,1),"")</f>
        <v/>
      </c>
      <c r="AZ23" s="138" t="str">
        <f ca="1">IF(COUNTA(V23),OFFSET($C23:V32,0,0,1,1),"")</f>
        <v/>
      </c>
      <c r="BA23" s="138" t="str">
        <f ca="1">IF(COUNTA(W23),OFFSET($C23:W32,0,0,1,1),"")</f>
        <v/>
      </c>
      <c r="BB23" s="46" t="str">
        <f ca="1">IF(COUNTA(X23),OFFSET($C23:X32,0,0,1,1),"")</f>
        <v/>
      </c>
      <c r="BC23" s="46" t="str">
        <f ca="1">IF(COUNTA(Y23),OFFSET($C23:Y32,0,0,1,1),"")</f>
        <v/>
      </c>
      <c r="BD23" s="138" t="str">
        <f ca="1">IF(COUNTA(Z23),OFFSET($C23:Z32,0,0,1,1),"")</f>
        <v/>
      </c>
      <c r="BE23" s="138" t="str">
        <f ca="1">IF(COUNTA(AA23),OFFSET($C23:AA32,0,0,1,1),"")</f>
        <v/>
      </c>
      <c r="BF23" s="46" t="str">
        <f ca="1">IF(COUNTA(AB23),OFFSET($C23:AB32,0,0,1,1),"")</f>
        <v/>
      </c>
      <c r="BG23" s="46" t="str">
        <f ca="1">IF(COUNTA(AC23),OFFSET($C23:AC32,0,0,1,1),"")</f>
        <v/>
      </c>
      <c r="BH23" s="138" t="str">
        <f ca="1">IF(COUNTA(AD23),OFFSET($C23:AD32,0,0,1,1),"")</f>
        <v/>
      </c>
      <c r="BI23" s="138" t="str">
        <f ca="1">IF(COUNTA(AE23),OFFSET($C23:AE32,0,0,1,1),"")</f>
        <v/>
      </c>
    </row>
    <row r="24" spans="1:61" s="15" customFormat="1" ht="18.45" customHeight="1" x14ac:dyDescent="0.15">
      <c r="A24" s="215"/>
      <c r="B24" s="205" t="s">
        <v>4</v>
      </c>
      <c r="C24" s="91" t="s">
        <v>4</v>
      </c>
      <c r="D24" s="122" t="s">
        <v>124</v>
      </c>
      <c r="E24" s="39"/>
      <c r="F24" s="39" t="s">
        <v>136</v>
      </c>
      <c r="G24" s="39"/>
      <c r="H24" s="122"/>
      <c r="I24" s="39"/>
      <c r="J24" s="39" t="s">
        <v>146</v>
      </c>
      <c r="K24" s="39"/>
      <c r="L24" s="122"/>
      <c r="M24" s="39"/>
      <c r="N24" s="39" t="s">
        <v>187</v>
      </c>
      <c r="O24" s="39"/>
      <c r="P24" s="122"/>
      <c r="Q24" s="39"/>
      <c r="R24" s="39"/>
      <c r="S24" s="39"/>
      <c r="T24" s="122"/>
      <c r="U24" s="39"/>
      <c r="V24" s="39"/>
      <c r="W24" s="39"/>
      <c r="X24" s="122"/>
      <c r="Y24" s="39"/>
      <c r="Z24" s="39"/>
      <c r="AA24" s="39"/>
      <c r="AB24" s="122"/>
      <c r="AC24" s="39"/>
      <c r="AD24" s="39"/>
      <c r="AE24" s="167"/>
      <c r="AF24" s="36"/>
      <c r="AG24" s="18"/>
      <c r="AH24" s="38" t="str">
        <f ca="1">IF(COUNTA(D24),OFFSET($C24:D33,0,0,1,1),"")</f>
        <v>REA</v>
      </c>
      <c r="AI24" s="38" t="str">
        <f ca="1">IF(COUNTA(E24),OFFSET($C24:E33,0,0,1,1),"")</f>
        <v/>
      </c>
      <c r="AJ24" s="135" t="str">
        <f ca="1">IF(COUNTA(F24),OFFSET($C24:F33,0,0,1,1),"")</f>
        <v>REA</v>
      </c>
      <c r="AK24" s="135" t="str">
        <f ca="1">IF(COUNTA(G24),OFFSET($C24:G33,0,0,1,1),"")</f>
        <v/>
      </c>
      <c r="AL24" s="38" t="str">
        <f ca="1">IF(COUNTA(H24),OFFSET($C24:H33,0,0,1,1),"")</f>
        <v/>
      </c>
      <c r="AM24" s="38" t="str">
        <f ca="1">IF(COUNTA(I24),OFFSET($C24:I33,0,0,1,1),"")</f>
        <v/>
      </c>
      <c r="AN24" s="135" t="str">
        <f ca="1">IF(COUNTA(J24),OFFSET($C24:J33,0,0,1,1),"")</f>
        <v>REA</v>
      </c>
      <c r="AO24" s="135" t="str">
        <f ca="1">IF(COUNTA(K24),OFFSET($C24:K33,0,0,1,1),"")</f>
        <v/>
      </c>
      <c r="AP24" s="38" t="str">
        <f ca="1">IF(COUNTA(L24),OFFSET($C24:L33,0,0,1,1),"")</f>
        <v/>
      </c>
      <c r="AQ24" s="38" t="str">
        <f ca="1">IF(COUNTA(M24),OFFSET($C24:M33,0,0,1,1),"")</f>
        <v/>
      </c>
      <c r="AR24" s="135" t="str">
        <f ca="1">IF(COUNTA(N24),OFFSET($C24:N33,0,0,1,1),"")</f>
        <v>REA</v>
      </c>
      <c r="AS24" s="135" t="str">
        <f ca="1">IF(COUNTA(O24),OFFSET($C24:O33,0,0,1,1),"")</f>
        <v/>
      </c>
      <c r="AT24" s="38" t="str">
        <f ca="1">IF(COUNTA(P24),OFFSET($C24:P33,0,0,1,1),"")</f>
        <v/>
      </c>
      <c r="AU24" s="38" t="str">
        <f ca="1">IF(COUNTA(Q24),OFFSET($C24:Q33,0,0,1,1),"")</f>
        <v/>
      </c>
      <c r="AV24" s="135" t="str">
        <f ca="1">IF(COUNTA(R24),OFFSET($C24:R33,0,0,1,1),"")</f>
        <v/>
      </c>
      <c r="AW24" s="135" t="str">
        <f ca="1">IF(COUNTA(S24),OFFSET($C24:S33,0,0,1,1),"")</f>
        <v/>
      </c>
      <c r="AX24" s="38" t="str">
        <f ca="1">IF(COUNTA(T24),OFFSET($C24:T33,0,0,1,1),"")</f>
        <v/>
      </c>
      <c r="AY24" s="38" t="str">
        <f ca="1">IF(COUNTA(U24),OFFSET($C24:U33,0,0,1,1),"")</f>
        <v/>
      </c>
      <c r="AZ24" s="135" t="str">
        <f ca="1">IF(COUNTA(V24),OFFSET($C24:V33,0,0,1,1),"")</f>
        <v/>
      </c>
      <c r="BA24" s="135" t="str">
        <f ca="1">IF(COUNTA(W24),OFFSET($C24:W33,0,0,1,1),"")</f>
        <v/>
      </c>
      <c r="BB24" s="38" t="str">
        <f ca="1">IF(COUNTA(X24),OFFSET($C24:X33,0,0,1,1),"")</f>
        <v/>
      </c>
      <c r="BC24" s="38" t="str">
        <f ca="1">IF(COUNTA(Y24),OFFSET($C24:Y33,0,0,1,1),"")</f>
        <v/>
      </c>
      <c r="BD24" s="135" t="str">
        <f ca="1">IF(COUNTA(Z24),OFFSET($C24:Z33,0,0,1,1),"")</f>
        <v/>
      </c>
      <c r="BE24" s="135" t="str">
        <f ca="1">IF(COUNTA(AA24),OFFSET($C24:AA33,0,0,1,1),"")</f>
        <v/>
      </c>
      <c r="BF24" s="38" t="str">
        <f ca="1">IF(COUNTA(AB24),OFFSET($C24:AB33,0,0,1,1),"")</f>
        <v/>
      </c>
      <c r="BG24" s="38" t="str">
        <f ca="1">IF(COUNTA(AC24),OFFSET($C24:AC33,0,0,1,1),"")</f>
        <v/>
      </c>
      <c r="BH24" s="135" t="str">
        <f ca="1">IF(COUNTA(AD24),OFFSET($C24:AD33,0,0,1,1),"")</f>
        <v/>
      </c>
      <c r="BI24" s="135" t="str">
        <f ca="1">IF(COUNTA(AE24),OFFSET($C24:AE33,0,0,1,1),"")</f>
        <v/>
      </c>
    </row>
    <row r="25" spans="1:61" s="15" customFormat="1" ht="18.45" hidden="1" customHeight="1" x14ac:dyDescent="0.15">
      <c r="A25" s="215"/>
      <c r="B25" s="206"/>
      <c r="C25" s="92" t="s">
        <v>4</v>
      </c>
      <c r="D25" s="126"/>
      <c r="E25" s="41"/>
      <c r="F25" s="41"/>
      <c r="G25" s="41"/>
      <c r="H25" s="126"/>
      <c r="I25" s="41"/>
      <c r="J25" s="41"/>
      <c r="K25" s="41"/>
      <c r="L25" s="126"/>
      <c r="M25" s="41"/>
      <c r="N25" s="41"/>
      <c r="O25" s="41"/>
      <c r="P25" s="126"/>
      <c r="Q25" s="41"/>
      <c r="R25" s="41"/>
      <c r="S25" s="41"/>
      <c r="T25" s="126"/>
      <c r="U25" s="41"/>
      <c r="V25" s="41"/>
      <c r="W25" s="41"/>
      <c r="X25" s="126"/>
      <c r="Y25" s="41"/>
      <c r="Z25" s="41"/>
      <c r="AA25" s="41"/>
      <c r="AB25" s="126"/>
      <c r="AC25" s="41"/>
      <c r="AD25" s="41"/>
      <c r="AE25" s="171"/>
      <c r="AF25" s="36"/>
      <c r="AG25" s="18"/>
      <c r="AH25" s="40" t="str">
        <f ca="1">IF(COUNTA(D25),OFFSET($C25:D34,0,0,1,1),"")</f>
        <v/>
      </c>
      <c r="AI25" s="40" t="str">
        <f ca="1">IF(COUNTA(E25),OFFSET($C25:E34,0,0,1,1),"")</f>
        <v/>
      </c>
      <c r="AJ25" s="139" t="str">
        <f ca="1">IF(COUNTA(F25),OFFSET($C25:F34,0,0,1,1),"")</f>
        <v/>
      </c>
      <c r="AK25" s="139" t="str">
        <f ca="1">IF(COUNTA(G25),OFFSET($C25:G34,0,0,1,1),"")</f>
        <v/>
      </c>
      <c r="AL25" s="40" t="str">
        <f ca="1">IF(COUNTA(H25),OFFSET($C25:H34,0,0,1,1),"")</f>
        <v/>
      </c>
      <c r="AM25" s="40" t="str">
        <f ca="1">IF(COUNTA(I25),OFFSET($C25:I34,0,0,1,1),"")</f>
        <v/>
      </c>
      <c r="AN25" s="139" t="str">
        <f ca="1">IF(COUNTA(J25),OFFSET($C25:J34,0,0,1,1),"")</f>
        <v/>
      </c>
      <c r="AO25" s="139" t="str">
        <f ca="1">IF(COUNTA(K25),OFFSET($C25:K34,0,0,1,1),"")</f>
        <v/>
      </c>
      <c r="AP25" s="40" t="str">
        <f ca="1">IF(COUNTA(L25),OFFSET($C25:L34,0,0,1,1),"")</f>
        <v/>
      </c>
      <c r="AQ25" s="40" t="str">
        <f ca="1">IF(COUNTA(M25),OFFSET($C25:M34,0,0,1,1),"")</f>
        <v/>
      </c>
      <c r="AR25" s="139" t="str">
        <f ca="1">IF(COUNTA(N25),OFFSET($C25:N34,0,0,1,1),"")</f>
        <v/>
      </c>
      <c r="AS25" s="139" t="str">
        <f ca="1">IF(COUNTA(O25),OFFSET($C25:O34,0,0,1,1),"")</f>
        <v/>
      </c>
      <c r="AT25" s="40" t="str">
        <f ca="1">IF(COUNTA(P25),OFFSET($C25:P34,0,0,1,1),"")</f>
        <v/>
      </c>
      <c r="AU25" s="40" t="str">
        <f ca="1">IF(COUNTA(Q25),OFFSET($C25:Q34,0,0,1,1),"")</f>
        <v/>
      </c>
      <c r="AV25" s="139" t="str">
        <f ca="1">IF(COUNTA(R25),OFFSET($C25:R34,0,0,1,1),"")</f>
        <v/>
      </c>
      <c r="AW25" s="139" t="str">
        <f ca="1">IF(COUNTA(S25),OFFSET($C25:S34,0,0,1,1),"")</f>
        <v/>
      </c>
      <c r="AX25" s="40" t="str">
        <f ca="1">IF(COUNTA(T25),OFFSET($C25:T34,0,0,1,1),"")</f>
        <v/>
      </c>
      <c r="AY25" s="40" t="str">
        <f ca="1">IF(COUNTA(U25),OFFSET($C25:U34,0,0,1,1),"")</f>
        <v/>
      </c>
      <c r="AZ25" s="139" t="str">
        <f ca="1">IF(COUNTA(V25),OFFSET($C25:V34,0,0,1,1),"")</f>
        <v/>
      </c>
      <c r="BA25" s="139" t="str">
        <f ca="1">IF(COUNTA(W25),OFFSET($C25:W34,0,0,1,1),"")</f>
        <v/>
      </c>
      <c r="BB25" s="40" t="str">
        <f ca="1">IF(COUNTA(X25),OFFSET($C25:X34,0,0,1,1),"")</f>
        <v/>
      </c>
      <c r="BC25" s="40" t="str">
        <f ca="1">IF(COUNTA(Y25),OFFSET($C25:Y34,0,0,1,1),"")</f>
        <v/>
      </c>
      <c r="BD25" s="139" t="str">
        <f ca="1">IF(COUNTA(Z25),OFFSET($C25:Z34,0,0,1,1),"")</f>
        <v/>
      </c>
      <c r="BE25" s="139" t="str">
        <f ca="1">IF(COUNTA(AA25),OFFSET($C25:AA34,0,0,1,1),"")</f>
        <v/>
      </c>
      <c r="BF25" s="40" t="str">
        <f ca="1">IF(COUNTA(AB25),OFFSET($C25:AB34,0,0,1,1),"")</f>
        <v/>
      </c>
      <c r="BG25" s="40" t="str">
        <f ca="1">IF(COUNTA(AC25),OFFSET($C25:AC34,0,0,1,1),"")</f>
        <v/>
      </c>
      <c r="BH25" s="139" t="str">
        <f ca="1">IF(COUNTA(AD25),OFFSET($C25:AD34,0,0,1,1),"")</f>
        <v/>
      </c>
      <c r="BI25" s="139" t="str">
        <f ca="1">IF(COUNTA(AE25),OFFSET($C25:AE34,0,0,1,1),"")</f>
        <v/>
      </c>
    </row>
    <row r="26" spans="1:61" s="15" customFormat="1" ht="18.45" hidden="1" customHeight="1" x14ac:dyDescent="0.15">
      <c r="A26" s="215"/>
      <c r="B26" s="206"/>
      <c r="C26" s="92" t="s">
        <v>4</v>
      </c>
      <c r="D26" s="123"/>
      <c r="E26" s="45"/>
      <c r="F26" s="45"/>
      <c r="G26" s="45"/>
      <c r="H26" s="123"/>
      <c r="I26" s="45"/>
      <c r="J26" s="45"/>
      <c r="K26" s="45"/>
      <c r="L26" s="123"/>
      <c r="M26" s="45"/>
      <c r="N26" s="45"/>
      <c r="O26" s="45"/>
      <c r="P26" s="123"/>
      <c r="Q26" s="45"/>
      <c r="R26" s="45"/>
      <c r="S26" s="45"/>
      <c r="T26" s="123"/>
      <c r="U26" s="45"/>
      <c r="V26" s="45"/>
      <c r="W26" s="45"/>
      <c r="X26" s="123"/>
      <c r="Y26" s="45"/>
      <c r="Z26" s="45"/>
      <c r="AA26" s="45"/>
      <c r="AB26" s="123"/>
      <c r="AC26" s="45"/>
      <c r="AD26" s="45"/>
      <c r="AE26" s="168"/>
      <c r="AF26" s="36"/>
      <c r="AG26" s="18"/>
      <c r="AH26" s="44" t="str">
        <f ca="1">IF(COUNTA(D26),OFFSET($C26:D29,0,0,1,1),"")</f>
        <v/>
      </c>
      <c r="AI26" s="44" t="str">
        <f ca="1">IF(COUNTA(E26),OFFSET($C26:E29,0,0,1,1),"")</f>
        <v/>
      </c>
      <c r="AJ26" s="136" t="str">
        <f ca="1">IF(COUNTA(F26),OFFSET($C26:F29,0,0,1,1),"")</f>
        <v/>
      </c>
      <c r="AK26" s="136" t="str">
        <f ca="1">IF(COUNTA(G26),OFFSET($C26:G29,0,0,1,1),"")</f>
        <v/>
      </c>
      <c r="AL26" s="44" t="str">
        <f ca="1">IF(COUNTA(H26),OFFSET($C26:H29,0,0,1,1),"")</f>
        <v/>
      </c>
      <c r="AM26" s="44" t="str">
        <f ca="1">IF(COUNTA(I26),OFFSET($C26:I29,0,0,1,1),"")</f>
        <v/>
      </c>
      <c r="AN26" s="136" t="str">
        <f ca="1">IF(COUNTA(J26),OFFSET($C26:J29,0,0,1,1),"")</f>
        <v/>
      </c>
      <c r="AO26" s="136" t="str">
        <f ca="1">IF(COUNTA(K26),OFFSET($C26:K29,0,0,1,1),"")</f>
        <v/>
      </c>
      <c r="AP26" s="44" t="str">
        <f ca="1">IF(COUNTA(L26),OFFSET($C26:L29,0,0,1,1),"")</f>
        <v/>
      </c>
      <c r="AQ26" s="44" t="str">
        <f ca="1">IF(COUNTA(M26),OFFSET($C26:M29,0,0,1,1),"")</f>
        <v/>
      </c>
      <c r="AR26" s="136" t="str">
        <f ca="1">IF(COUNTA(N26),OFFSET($C26:N29,0,0,1,1),"")</f>
        <v/>
      </c>
      <c r="AS26" s="136" t="str">
        <f ca="1">IF(COUNTA(O26),OFFSET($C26:O29,0,0,1,1),"")</f>
        <v/>
      </c>
      <c r="AT26" s="44" t="str">
        <f ca="1">IF(COUNTA(P26),OFFSET($C26:P29,0,0,1,1),"")</f>
        <v/>
      </c>
      <c r="AU26" s="44" t="str">
        <f ca="1">IF(COUNTA(Q26),OFFSET($C26:Q29,0,0,1,1),"")</f>
        <v/>
      </c>
      <c r="AV26" s="136" t="str">
        <f ca="1">IF(COUNTA(R26),OFFSET($C26:R29,0,0,1,1),"")</f>
        <v/>
      </c>
      <c r="AW26" s="136" t="str">
        <f ca="1">IF(COUNTA(S26),OFFSET($C26:S29,0,0,1,1),"")</f>
        <v/>
      </c>
      <c r="AX26" s="44" t="str">
        <f ca="1">IF(COUNTA(T26),OFFSET($C26:T29,0,0,1,1),"")</f>
        <v/>
      </c>
      <c r="AY26" s="44" t="str">
        <f ca="1">IF(COUNTA(U26),OFFSET($C26:U29,0,0,1,1),"")</f>
        <v/>
      </c>
      <c r="AZ26" s="136" t="str">
        <f ca="1">IF(COUNTA(V26),OFFSET($C26:V29,0,0,1,1),"")</f>
        <v/>
      </c>
      <c r="BA26" s="136" t="str">
        <f ca="1">IF(COUNTA(W26),OFFSET($C26:W29,0,0,1,1),"")</f>
        <v/>
      </c>
      <c r="BB26" s="44" t="str">
        <f ca="1">IF(COUNTA(X26),OFFSET($C26:X29,0,0,1,1),"")</f>
        <v/>
      </c>
      <c r="BC26" s="44" t="str">
        <f ca="1">IF(COUNTA(Y26),OFFSET($C26:Y29,0,0,1,1),"")</f>
        <v/>
      </c>
      <c r="BD26" s="136" t="str">
        <f ca="1">IF(COUNTA(Z26),OFFSET($C26:Z29,0,0,1,1),"")</f>
        <v/>
      </c>
      <c r="BE26" s="136" t="str">
        <f ca="1">IF(COUNTA(AA26),OFFSET($C26:AA29,0,0,1,1),"")</f>
        <v/>
      </c>
      <c r="BF26" s="44" t="str">
        <f ca="1">IF(COUNTA(AB26),OFFSET($C26:AB29,0,0,1,1),"")</f>
        <v/>
      </c>
      <c r="BG26" s="44" t="str">
        <f ca="1">IF(COUNTA(AC26),OFFSET($C26:AC29,0,0,1,1),"")</f>
        <v/>
      </c>
      <c r="BH26" s="136" t="str">
        <f ca="1">IF(COUNTA(AD26),OFFSET($C26:AD29,0,0,1,1),"")</f>
        <v/>
      </c>
      <c r="BI26" s="136" t="str">
        <f ca="1">IF(COUNTA(AE26),OFFSET($C26:AE29,0,0,1,1),"")</f>
        <v/>
      </c>
    </row>
    <row r="27" spans="1:61" s="15" customFormat="1" ht="18.45" hidden="1" customHeight="1" x14ac:dyDescent="0.15">
      <c r="A27" s="215"/>
      <c r="B27" s="206"/>
      <c r="C27" s="92" t="s">
        <v>4</v>
      </c>
      <c r="D27" s="123"/>
      <c r="E27" s="45"/>
      <c r="F27" s="45"/>
      <c r="G27" s="45"/>
      <c r="H27" s="123"/>
      <c r="I27" s="45"/>
      <c r="J27" s="45"/>
      <c r="K27" s="45"/>
      <c r="L27" s="123"/>
      <c r="M27" s="45"/>
      <c r="N27" s="45"/>
      <c r="O27" s="45"/>
      <c r="P27" s="123"/>
      <c r="Q27" s="45"/>
      <c r="R27" s="45"/>
      <c r="S27" s="45"/>
      <c r="T27" s="123"/>
      <c r="U27" s="45"/>
      <c r="V27" s="45"/>
      <c r="W27" s="45"/>
      <c r="X27" s="123"/>
      <c r="Y27" s="45"/>
      <c r="Z27" s="45"/>
      <c r="AA27" s="45"/>
      <c r="AB27" s="123"/>
      <c r="AC27" s="45"/>
      <c r="AD27" s="45"/>
      <c r="AE27" s="168"/>
      <c r="AF27" s="36"/>
      <c r="AG27" s="18"/>
      <c r="AH27" s="44" t="str">
        <f ca="1">IF(COUNTA(D27),OFFSET($C27:D30,0,0,1,1),"")</f>
        <v/>
      </c>
      <c r="AI27" s="44" t="str">
        <f ca="1">IF(COUNTA(E27),OFFSET($C27:E30,0,0,1,1),"")</f>
        <v/>
      </c>
      <c r="AJ27" s="136" t="str">
        <f ca="1">IF(COUNTA(F27),OFFSET($C27:F30,0,0,1,1),"")</f>
        <v/>
      </c>
      <c r="AK27" s="136" t="str">
        <f ca="1">IF(COUNTA(G27),OFFSET($C27:G30,0,0,1,1),"")</f>
        <v/>
      </c>
      <c r="AL27" s="44" t="str">
        <f ca="1">IF(COUNTA(H27),OFFSET($C27:H30,0,0,1,1),"")</f>
        <v/>
      </c>
      <c r="AM27" s="44" t="str">
        <f ca="1">IF(COUNTA(I27),OFFSET($C27:I30,0,0,1,1),"")</f>
        <v/>
      </c>
      <c r="AN27" s="136" t="str">
        <f ca="1">IF(COUNTA(J27),OFFSET($C27:J30,0,0,1,1),"")</f>
        <v/>
      </c>
      <c r="AO27" s="136" t="str">
        <f ca="1">IF(COUNTA(K27),OFFSET($C27:K30,0,0,1,1),"")</f>
        <v/>
      </c>
      <c r="AP27" s="44" t="str">
        <f ca="1">IF(COUNTA(L27),OFFSET($C27:L30,0,0,1,1),"")</f>
        <v/>
      </c>
      <c r="AQ27" s="44" t="str">
        <f ca="1">IF(COUNTA(M27),OFFSET($C27:M30,0,0,1,1),"")</f>
        <v/>
      </c>
      <c r="AR27" s="136" t="str">
        <f ca="1">IF(COUNTA(N27),OFFSET($C27:N30,0,0,1,1),"")</f>
        <v/>
      </c>
      <c r="AS27" s="136" t="str">
        <f ca="1">IF(COUNTA(O27),OFFSET($C27:O30,0,0,1,1),"")</f>
        <v/>
      </c>
      <c r="AT27" s="44" t="str">
        <f ca="1">IF(COUNTA(P27),OFFSET($C27:P30,0,0,1,1),"")</f>
        <v/>
      </c>
      <c r="AU27" s="44" t="str">
        <f ca="1">IF(COUNTA(Q27),OFFSET($C27:Q30,0,0,1,1),"")</f>
        <v/>
      </c>
      <c r="AV27" s="136" t="str">
        <f ca="1">IF(COUNTA(R27),OFFSET($C27:R30,0,0,1,1),"")</f>
        <v/>
      </c>
      <c r="AW27" s="136" t="str">
        <f ca="1">IF(COUNTA(S27),OFFSET($C27:S30,0,0,1,1),"")</f>
        <v/>
      </c>
      <c r="AX27" s="44" t="str">
        <f ca="1">IF(COUNTA(T27),OFFSET($C27:T30,0,0,1,1),"")</f>
        <v/>
      </c>
      <c r="AY27" s="44" t="str">
        <f ca="1">IF(COUNTA(U27),OFFSET($C27:U30,0,0,1,1),"")</f>
        <v/>
      </c>
      <c r="AZ27" s="136" t="str">
        <f ca="1">IF(COUNTA(V27),OFFSET($C27:V30,0,0,1,1),"")</f>
        <v/>
      </c>
      <c r="BA27" s="136" t="str">
        <f ca="1">IF(COUNTA(W27),OFFSET($C27:W30,0,0,1,1),"")</f>
        <v/>
      </c>
      <c r="BB27" s="44" t="str">
        <f ca="1">IF(COUNTA(X27),OFFSET($C27:X30,0,0,1,1),"")</f>
        <v/>
      </c>
      <c r="BC27" s="44" t="str">
        <f ca="1">IF(COUNTA(Y27),OFFSET($C27:Y30,0,0,1,1),"")</f>
        <v/>
      </c>
      <c r="BD27" s="136" t="str">
        <f ca="1">IF(COUNTA(Z27),OFFSET($C27:Z30,0,0,1,1),"")</f>
        <v/>
      </c>
      <c r="BE27" s="136" t="str">
        <f ca="1">IF(COUNTA(AA27),OFFSET($C27:AA30,0,0,1,1),"")</f>
        <v/>
      </c>
      <c r="BF27" s="44" t="str">
        <f ca="1">IF(COUNTA(AB27),OFFSET($C27:AB30,0,0,1,1),"")</f>
        <v/>
      </c>
      <c r="BG27" s="44" t="str">
        <f ca="1">IF(COUNTA(AC27),OFFSET($C27:AC30,0,0,1,1),"")</f>
        <v/>
      </c>
      <c r="BH27" s="136" t="str">
        <f ca="1">IF(COUNTA(AD27),OFFSET($C27:AD30,0,0,1,1),"")</f>
        <v/>
      </c>
      <c r="BI27" s="136" t="str">
        <f ca="1">IF(COUNTA(AE27),OFFSET($C27:AE30,0,0,1,1),"")</f>
        <v/>
      </c>
    </row>
    <row r="28" spans="1:61" s="15" customFormat="1" ht="18.45" hidden="1" customHeight="1" x14ac:dyDescent="0.15">
      <c r="A28" s="215"/>
      <c r="B28" s="206"/>
      <c r="C28" s="92" t="s">
        <v>4</v>
      </c>
      <c r="D28" s="123"/>
      <c r="E28" s="45"/>
      <c r="F28" s="45"/>
      <c r="G28" s="45"/>
      <c r="H28" s="123"/>
      <c r="I28" s="45"/>
      <c r="J28" s="45"/>
      <c r="K28" s="45"/>
      <c r="L28" s="123"/>
      <c r="M28" s="45"/>
      <c r="N28" s="45"/>
      <c r="O28" s="45"/>
      <c r="P28" s="123"/>
      <c r="Q28" s="45"/>
      <c r="R28" s="45"/>
      <c r="S28" s="45"/>
      <c r="T28" s="123"/>
      <c r="U28" s="45"/>
      <c r="V28" s="45"/>
      <c r="W28" s="45"/>
      <c r="X28" s="123"/>
      <c r="Y28" s="45"/>
      <c r="Z28" s="45"/>
      <c r="AA28" s="45"/>
      <c r="AB28" s="123"/>
      <c r="AC28" s="45"/>
      <c r="AD28" s="45"/>
      <c r="AE28" s="168"/>
      <c r="AF28" s="36"/>
      <c r="AG28" s="18"/>
      <c r="AH28" s="44" t="str">
        <f ca="1">IF(COUNTA(D28),OFFSET($C28:D31,0,0,1,1),"")</f>
        <v/>
      </c>
      <c r="AI28" s="44" t="str">
        <f ca="1">IF(COUNTA(E28),OFFSET($C28:E31,0,0,1,1),"")</f>
        <v/>
      </c>
      <c r="AJ28" s="136" t="str">
        <f ca="1">IF(COUNTA(F28),OFFSET($C28:F31,0,0,1,1),"")</f>
        <v/>
      </c>
      <c r="AK28" s="136" t="str">
        <f ca="1">IF(COUNTA(G28),OFFSET($C28:G31,0,0,1,1),"")</f>
        <v/>
      </c>
      <c r="AL28" s="44" t="str">
        <f ca="1">IF(COUNTA(H28),OFFSET($C28:H31,0,0,1,1),"")</f>
        <v/>
      </c>
      <c r="AM28" s="44" t="str">
        <f ca="1">IF(COUNTA(I28),OFFSET($C28:I31,0,0,1,1),"")</f>
        <v/>
      </c>
      <c r="AN28" s="136" t="str">
        <f ca="1">IF(COUNTA(J28),OFFSET($C28:J31,0,0,1,1),"")</f>
        <v/>
      </c>
      <c r="AO28" s="136" t="str">
        <f ca="1">IF(COUNTA(K28),OFFSET($C28:K31,0,0,1,1),"")</f>
        <v/>
      </c>
      <c r="AP28" s="44" t="str">
        <f ca="1">IF(COUNTA(L28),OFFSET($C28:L31,0,0,1,1),"")</f>
        <v/>
      </c>
      <c r="AQ28" s="44" t="str">
        <f ca="1">IF(COUNTA(M28),OFFSET($C28:M31,0,0,1,1),"")</f>
        <v/>
      </c>
      <c r="AR28" s="136" t="str">
        <f ca="1">IF(COUNTA(N28),OFFSET($C28:N31,0,0,1,1),"")</f>
        <v/>
      </c>
      <c r="AS28" s="136" t="str">
        <f ca="1">IF(COUNTA(O28),OFFSET($C28:O31,0,0,1,1),"")</f>
        <v/>
      </c>
      <c r="AT28" s="44" t="str">
        <f ca="1">IF(COUNTA(P28),OFFSET($C28:P31,0,0,1,1),"")</f>
        <v/>
      </c>
      <c r="AU28" s="44" t="str">
        <f ca="1">IF(COUNTA(Q28),OFFSET($C28:Q31,0,0,1,1),"")</f>
        <v/>
      </c>
      <c r="AV28" s="136" t="str">
        <f ca="1">IF(COUNTA(R28),OFFSET($C28:R31,0,0,1,1),"")</f>
        <v/>
      </c>
      <c r="AW28" s="136" t="str">
        <f ca="1">IF(COUNTA(S28),OFFSET($C28:S31,0,0,1,1),"")</f>
        <v/>
      </c>
      <c r="AX28" s="44" t="str">
        <f ca="1">IF(COUNTA(T28),OFFSET($C28:T31,0,0,1,1),"")</f>
        <v/>
      </c>
      <c r="AY28" s="44" t="str">
        <f ca="1">IF(COUNTA(U28),OFFSET($C28:U31,0,0,1,1),"")</f>
        <v/>
      </c>
      <c r="AZ28" s="136" t="str">
        <f ca="1">IF(COUNTA(V28),OFFSET($C28:V31,0,0,1,1),"")</f>
        <v/>
      </c>
      <c r="BA28" s="136" t="str">
        <f ca="1">IF(COUNTA(W28),OFFSET($C28:W31,0,0,1,1),"")</f>
        <v/>
      </c>
      <c r="BB28" s="44" t="str">
        <f ca="1">IF(COUNTA(X28),OFFSET($C28:X31,0,0,1,1),"")</f>
        <v/>
      </c>
      <c r="BC28" s="44" t="str">
        <f ca="1">IF(COUNTA(Y28),OFFSET($C28:Y31,0,0,1,1),"")</f>
        <v/>
      </c>
      <c r="BD28" s="136" t="str">
        <f ca="1">IF(COUNTA(Z28),OFFSET($C28:Z31,0,0,1,1),"")</f>
        <v/>
      </c>
      <c r="BE28" s="136" t="str">
        <f ca="1">IF(COUNTA(AA28),OFFSET($C28:AA31,0,0,1,1),"")</f>
        <v/>
      </c>
      <c r="BF28" s="44" t="str">
        <f ca="1">IF(COUNTA(AB28),OFFSET($C28:AB31,0,0,1,1),"")</f>
        <v/>
      </c>
      <c r="BG28" s="44" t="str">
        <f ca="1">IF(COUNTA(AC28),OFFSET($C28:AC31,0,0,1,1),"")</f>
        <v/>
      </c>
      <c r="BH28" s="136" t="str">
        <f ca="1">IF(COUNTA(AD28),OFFSET($C28:AD31,0,0,1,1),"")</f>
        <v/>
      </c>
      <c r="BI28" s="136" t="str">
        <f ca="1">IF(COUNTA(AE28),OFFSET($C28:AE31,0,0,1,1),"")</f>
        <v/>
      </c>
    </row>
    <row r="29" spans="1:61" s="15" customFormat="1" ht="18.45" hidden="1" customHeight="1" x14ac:dyDescent="0.15">
      <c r="A29" s="215"/>
      <c r="B29" s="206"/>
      <c r="C29" s="92" t="s">
        <v>4</v>
      </c>
      <c r="D29" s="123"/>
      <c r="E29" s="45"/>
      <c r="F29" s="45"/>
      <c r="G29" s="45"/>
      <c r="H29" s="123"/>
      <c r="I29" s="45"/>
      <c r="J29" s="45"/>
      <c r="K29" s="45"/>
      <c r="L29" s="123"/>
      <c r="M29" s="45"/>
      <c r="N29" s="45"/>
      <c r="O29" s="45"/>
      <c r="P29" s="123"/>
      <c r="Q29" s="45"/>
      <c r="R29" s="45"/>
      <c r="S29" s="45"/>
      <c r="T29" s="123"/>
      <c r="U29" s="45"/>
      <c r="V29" s="45"/>
      <c r="W29" s="45"/>
      <c r="X29" s="123"/>
      <c r="Y29" s="45"/>
      <c r="Z29" s="45"/>
      <c r="AA29" s="45"/>
      <c r="AB29" s="123"/>
      <c r="AC29" s="45"/>
      <c r="AD29" s="45"/>
      <c r="AE29" s="168"/>
      <c r="AF29" s="36"/>
      <c r="AG29" s="18"/>
      <c r="AH29" s="44" t="str">
        <f ca="1">IF(COUNTA(D29),OFFSET($C29:D32,0,0,1,1),"")</f>
        <v/>
      </c>
      <c r="AI29" s="44" t="str">
        <f ca="1">IF(COUNTA(E29),OFFSET($C29:E32,0,0,1,1),"")</f>
        <v/>
      </c>
      <c r="AJ29" s="136" t="str">
        <f ca="1">IF(COUNTA(F29),OFFSET($C29:F32,0,0,1,1),"")</f>
        <v/>
      </c>
      <c r="AK29" s="136" t="str">
        <f ca="1">IF(COUNTA(G29),OFFSET($C29:G32,0,0,1,1),"")</f>
        <v/>
      </c>
      <c r="AL29" s="44" t="str">
        <f ca="1">IF(COUNTA(H29),OFFSET($C29:H32,0,0,1,1),"")</f>
        <v/>
      </c>
      <c r="AM29" s="44" t="str">
        <f ca="1">IF(COUNTA(I29),OFFSET($C29:I32,0,0,1,1),"")</f>
        <v/>
      </c>
      <c r="AN29" s="136" t="str">
        <f ca="1">IF(COUNTA(J29),OFFSET($C29:J32,0,0,1,1),"")</f>
        <v/>
      </c>
      <c r="AO29" s="136" t="str">
        <f ca="1">IF(COUNTA(K29),OFFSET($C29:K32,0,0,1,1),"")</f>
        <v/>
      </c>
      <c r="AP29" s="44" t="str">
        <f ca="1">IF(COUNTA(L29),OFFSET($C29:L32,0,0,1,1),"")</f>
        <v/>
      </c>
      <c r="AQ29" s="44" t="str">
        <f ca="1">IF(COUNTA(M29),OFFSET($C29:M32,0,0,1,1),"")</f>
        <v/>
      </c>
      <c r="AR29" s="136" t="str">
        <f ca="1">IF(COUNTA(N29),OFFSET($C29:N32,0,0,1,1),"")</f>
        <v/>
      </c>
      <c r="AS29" s="136" t="str">
        <f ca="1">IF(COUNTA(O29),OFFSET($C29:O32,0,0,1,1),"")</f>
        <v/>
      </c>
      <c r="AT29" s="44" t="str">
        <f ca="1">IF(COUNTA(P29),OFFSET($C29:P32,0,0,1,1),"")</f>
        <v/>
      </c>
      <c r="AU29" s="44" t="str">
        <f ca="1">IF(COUNTA(Q29),OFFSET($C29:Q32,0,0,1,1),"")</f>
        <v/>
      </c>
      <c r="AV29" s="136" t="str">
        <f ca="1">IF(COUNTA(R29),OFFSET($C29:R32,0,0,1,1),"")</f>
        <v/>
      </c>
      <c r="AW29" s="136" t="str">
        <f ca="1">IF(COUNTA(S29),OFFSET($C29:S32,0,0,1,1),"")</f>
        <v/>
      </c>
      <c r="AX29" s="44" t="str">
        <f ca="1">IF(COUNTA(T29),OFFSET($C29:T32,0,0,1,1),"")</f>
        <v/>
      </c>
      <c r="AY29" s="44" t="str">
        <f ca="1">IF(COUNTA(U29),OFFSET($C29:U32,0,0,1,1),"")</f>
        <v/>
      </c>
      <c r="AZ29" s="136" t="str">
        <f ca="1">IF(COUNTA(V29),OFFSET($C29:V32,0,0,1,1),"")</f>
        <v/>
      </c>
      <c r="BA29" s="136" t="str">
        <f ca="1">IF(COUNTA(W29),OFFSET($C29:W32,0,0,1,1),"")</f>
        <v/>
      </c>
      <c r="BB29" s="44" t="str">
        <f ca="1">IF(COUNTA(X29),OFFSET($C29:X32,0,0,1,1),"")</f>
        <v/>
      </c>
      <c r="BC29" s="44" t="str">
        <f ca="1">IF(COUNTA(Y29),OFFSET($C29:Y32,0,0,1,1),"")</f>
        <v/>
      </c>
      <c r="BD29" s="136" t="str">
        <f ca="1">IF(COUNTA(Z29),OFFSET($C29:Z32,0,0,1,1),"")</f>
        <v/>
      </c>
      <c r="BE29" s="136" t="str">
        <f ca="1">IF(COUNTA(AA29),OFFSET($C29:AA32,0,0,1,1),"")</f>
        <v/>
      </c>
      <c r="BF29" s="44" t="str">
        <f ca="1">IF(COUNTA(AB29),OFFSET($C29:AB32,0,0,1,1),"")</f>
        <v/>
      </c>
      <c r="BG29" s="44" t="str">
        <f ca="1">IF(COUNTA(AC29),OFFSET($C29:AC32,0,0,1,1),"")</f>
        <v/>
      </c>
      <c r="BH29" s="136" t="str">
        <f ca="1">IF(COUNTA(AD29),OFFSET($C29:AD32,0,0,1,1),"")</f>
        <v/>
      </c>
      <c r="BI29" s="136" t="str">
        <f ca="1">IF(COUNTA(AE29),OFFSET($C29:AE32,0,0,1,1),"")</f>
        <v/>
      </c>
    </row>
    <row r="30" spans="1:61" s="15" customFormat="1" ht="18.45" hidden="1" customHeight="1" x14ac:dyDescent="0.15">
      <c r="A30" s="215"/>
      <c r="B30" s="206"/>
      <c r="C30" s="92" t="s">
        <v>4</v>
      </c>
      <c r="D30" s="123"/>
      <c r="E30" s="45"/>
      <c r="F30" s="45"/>
      <c r="G30" s="45"/>
      <c r="H30" s="123"/>
      <c r="I30" s="45"/>
      <c r="J30" s="45"/>
      <c r="K30" s="45"/>
      <c r="L30" s="123"/>
      <c r="M30" s="45"/>
      <c r="N30" s="45"/>
      <c r="O30" s="45"/>
      <c r="P30" s="123"/>
      <c r="Q30" s="45"/>
      <c r="R30" s="45"/>
      <c r="S30" s="45"/>
      <c r="T30" s="123"/>
      <c r="U30" s="45"/>
      <c r="V30" s="45"/>
      <c r="W30" s="45"/>
      <c r="X30" s="123"/>
      <c r="Y30" s="45"/>
      <c r="Z30" s="45"/>
      <c r="AA30" s="45"/>
      <c r="AB30" s="123"/>
      <c r="AC30" s="45"/>
      <c r="AD30" s="45"/>
      <c r="AE30" s="168"/>
      <c r="AF30" s="36"/>
      <c r="AG30" s="18"/>
      <c r="AH30" s="44" t="str">
        <f ca="1">IF(COUNTA(D30),OFFSET($C30:D33,0,0,1,1),"")</f>
        <v/>
      </c>
      <c r="AI30" s="44" t="str">
        <f ca="1">IF(COUNTA(E30),OFFSET($C30:E33,0,0,1,1),"")</f>
        <v/>
      </c>
      <c r="AJ30" s="136" t="str">
        <f ca="1">IF(COUNTA(F30),OFFSET($C30:F33,0,0,1,1),"")</f>
        <v/>
      </c>
      <c r="AK30" s="136" t="str">
        <f ca="1">IF(COUNTA(G30),OFFSET($C30:G33,0,0,1,1),"")</f>
        <v/>
      </c>
      <c r="AL30" s="44" t="str">
        <f ca="1">IF(COUNTA(H30),OFFSET($C30:H33,0,0,1,1),"")</f>
        <v/>
      </c>
      <c r="AM30" s="44" t="str">
        <f ca="1">IF(COUNTA(I30),OFFSET($C30:I33,0,0,1,1),"")</f>
        <v/>
      </c>
      <c r="AN30" s="136" t="str">
        <f ca="1">IF(COUNTA(J30),OFFSET($C30:J33,0,0,1,1),"")</f>
        <v/>
      </c>
      <c r="AO30" s="136" t="str">
        <f ca="1">IF(COUNTA(K30),OFFSET($C30:K33,0,0,1,1),"")</f>
        <v/>
      </c>
      <c r="AP30" s="44" t="str">
        <f ca="1">IF(COUNTA(L30),OFFSET($C30:L33,0,0,1,1),"")</f>
        <v/>
      </c>
      <c r="AQ30" s="44" t="str">
        <f ca="1">IF(COUNTA(M30),OFFSET($C30:M33,0,0,1,1),"")</f>
        <v/>
      </c>
      <c r="AR30" s="136" t="str">
        <f ca="1">IF(COUNTA(N30),OFFSET($C30:N33,0,0,1,1),"")</f>
        <v/>
      </c>
      <c r="AS30" s="136" t="str">
        <f ca="1">IF(COUNTA(O30),OFFSET($C30:O33,0,0,1,1),"")</f>
        <v/>
      </c>
      <c r="AT30" s="44" t="str">
        <f ca="1">IF(COUNTA(P30),OFFSET($C30:P33,0,0,1,1),"")</f>
        <v/>
      </c>
      <c r="AU30" s="44" t="str">
        <f ca="1">IF(COUNTA(Q30),OFFSET($C30:Q33,0,0,1,1),"")</f>
        <v/>
      </c>
      <c r="AV30" s="136" t="str">
        <f ca="1">IF(COUNTA(R30),OFFSET($C30:R33,0,0,1,1),"")</f>
        <v/>
      </c>
      <c r="AW30" s="136" t="str">
        <f ca="1">IF(COUNTA(S30),OFFSET($C30:S33,0,0,1,1),"")</f>
        <v/>
      </c>
      <c r="AX30" s="44" t="str">
        <f ca="1">IF(COUNTA(T30),OFFSET($C30:T33,0,0,1,1),"")</f>
        <v/>
      </c>
      <c r="AY30" s="44" t="str">
        <f ca="1">IF(COUNTA(U30),OFFSET($C30:U33,0,0,1,1),"")</f>
        <v/>
      </c>
      <c r="AZ30" s="136" t="str">
        <f ca="1">IF(COUNTA(V30),OFFSET($C30:V33,0,0,1,1),"")</f>
        <v/>
      </c>
      <c r="BA30" s="136" t="str">
        <f ca="1">IF(COUNTA(W30),OFFSET($C30:W33,0,0,1,1),"")</f>
        <v/>
      </c>
      <c r="BB30" s="44" t="str">
        <f ca="1">IF(COUNTA(X30),OFFSET($C30:X33,0,0,1,1),"")</f>
        <v/>
      </c>
      <c r="BC30" s="44" t="str">
        <f ca="1">IF(COUNTA(Y30),OFFSET($C30:Y33,0,0,1,1),"")</f>
        <v/>
      </c>
      <c r="BD30" s="136" t="str">
        <f ca="1">IF(COUNTA(Z30),OFFSET($C30:Z33,0,0,1,1),"")</f>
        <v/>
      </c>
      <c r="BE30" s="136" t="str">
        <f ca="1">IF(COUNTA(AA30),OFFSET($C30:AA33,0,0,1,1),"")</f>
        <v/>
      </c>
      <c r="BF30" s="44" t="str">
        <f ca="1">IF(COUNTA(AB30),OFFSET($C30:AB33,0,0,1,1),"")</f>
        <v/>
      </c>
      <c r="BG30" s="44" t="str">
        <f ca="1">IF(COUNTA(AC30),OFFSET($C30:AC33,0,0,1,1),"")</f>
        <v/>
      </c>
      <c r="BH30" s="136" t="str">
        <f ca="1">IF(COUNTA(AD30),OFFSET($C30:AD33,0,0,1,1),"")</f>
        <v/>
      </c>
      <c r="BI30" s="136" t="str">
        <f ca="1">IF(COUNTA(AE30),OFFSET($C30:AE33,0,0,1,1),"")</f>
        <v/>
      </c>
    </row>
    <row r="31" spans="1:61" s="15" customFormat="1" ht="18.45" hidden="1" customHeight="1" x14ac:dyDescent="0.15">
      <c r="A31" s="215"/>
      <c r="B31" s="206"/>
      <c r="C31" s="92" t="s">
        <v>4</v>
      </c>
      <c r="D31" s="123"/>
      <c r="E31" s="45"/>
      <c r="F31" s="45"/>
      <c r="G31" s="45"/>
      <c r="H31" s="123"/>
      <c r="I31" s="45"/>
      <c r="J31" s="45"/>
      <c r="K31" s="45"/>
      <c r="L31" s="123"/>
      <c r="M31" s="45"/>
      <c r="N31" s="45"/>
      <c r="O31" s="45"/>
      <c r="P31" s="123"/>
      <c r="Q31" s="45"/>
      <c r="R31" s="45"/>
      <c r="S31" s="45"/>
      <c r="T31" s="123"/>
      <c r="U31" s="45"/>
      <c r="V31" s="45"/>
      <c r="W31" s="45"/>
      <c r="X31" s="123"/>
      <c r="Y31" s="45"/>
      <c r="Z31" s="45"/>
      <c r="AA31" s="45"/>
      <c r="AB31" s="123"/>
      <c r="AC31" s="45"/>
      <c r="AD31" s="45"/>
      <c r="AE31" s="168"/>
      <c r="AF31" s="36"/>
      <c r="AG31" s="18"/>
      <c r="AH31" s="44" t="str">
        <f ca="1">IF(COUNTA(D31),OFFSET($C31:D34,0,0,1,1),"")</f>
        <v/>
      </c>
      <c r="AI31" s="44" t="str">
        <f ca="1">IF(COUNTA(E31),OFFSET($C31:E34,0,0,1,1),"")</f>
        <v/>
      </c>
      <c r="AJ31" s="136" t="str">
        <f ca="1">IF(COUNTA(F31),OFFSET($C31:F34,0,0,1,1),"")</f>
        <v/>
      </c>
      <c r="AK31" s="136" t="str">
        <f ca="1">IF(COUNTA(G31),OFFSET($C31:G34,0,0,1,1),"")</f>
        <v/>
      </c>
      <c r="AL31" s="44" t="str">
        <f ca="1">IF(COUNTA(H31),OFFSET($C31:H34,0,0,1,1),"")</f>
        <v/>
      </c>
      <c r="AM31" s="44" t="str">
        <f ca="1">IF(COUNTA(I31),OFFSET($C31:I34,0,0,1,1),"")</f>
        <v/>
      </c>
      <c r="AN31" s="136" t="str">
        <f ca="1">IF(COUNTA(J31),OFFSET($C31:J34,0,0,1,1),"")</f>
        <v/>
      </c>
      <c r="AO31" s="136" t="str">
        <f ca="1">IF(COUNTA(K31),OFFSET($C31:K34,0,0,1,1),"")</f>
        <v/>
      </c>
      <c r="AP31" s="44" t="str">
        <f ca="1">IF(COUNTA(L31),OFFSET($C31:L34,0,0,1,1),"")</f>
        <v/>
      </c>
      <c r="AQ31" s="44" t="str">
        <f ca="1">IF(COUNTA(M31),OFFSET($C31:M34,0,0,1,1),"")</f>
        <v/>
      </c>
      <c r="AR31" s="136" t="str">
        <f ca="1">IF(COUNTA(N31),OFFSET($C31:N34,0,0,1,1),"")</f>
        <v/>
      </c>
      <c r="AS31" s="136" t="str">
        <f ca="1">IF(COUNTA(O31),OFFSET($C31:O34,0,0,1,1),"")</f>
        <v/>
      </c>
      <c r="AT31" s="44" t="str">
        <f ca="1">IF(COUNTA(P31),OFFSET($C31:P34,0,0,1,1),"")</f>
        <v/>
      </c>
      <c r="AU31" s="44" t="str">
        <f ca="1">IF(COUNTA(Q31),OFFSET($C31:Q34,0,0,1,1),"")</f>
        <v/>
      </c>
      <c r="AV31" s="136" t="str">
        <f ca="1">IF(COUNTA(R31),OFFSET($C31:R34,0,0,1,1),"")</f>
        <v/>
      </c>
      <c r="AW31" s="136" t="str">
        <f ca="1">IF(COUNTA(S31),OFFSET($C31:S34,0,0,1,1),"")</f>
        <v/>
      </c>
      <c r="AX31" s="44" t="str">
        <f ca="1">IF(COUNTA(T31),OFFSET($C31:T34,0,0,1,1),"")</f>
        <v/>
      </c>
      <c r="AY31" s="44" t="str">
        <f ca="1">IF(COUNTA(U31),OFFSET($C31:U34,0,0,1,1),"")</f>
        <v/>
      </c>
      <c r="AZ31" s="136" t="str">
        <f ca="1">IF(COUNTA(V31),OFFSET($C31:V34,0,0,1,1),"")</f>
        <v/>
      </c>
      <c r="BA31" s="136" t="str">
        <f ca="1">IF(COUNTA(W31),OFFSET($C31:W34,0,0,1,1),"")</f>
        <v/>
      </c>
      <c r="BB31" s="44" t="str">
        <f ca="1">IF(COUNTA(X31),OFFSET($C31:X34,0,0,1,1),"")</f>
        <v/>
      </c>
      <c r="BC31" s="44" t="str">
        <f ca="1">IF(COUNTA(Y31),OFFSET($C31:Y34,0,0,1,1),"")</f>
        <v/>
      </c>
      <c r="BD31" s="136" t="str">
        <f ca="1">IF(COUNTA(Z31),OFFSET($C31:Z34,0,0,1,1),"")</f>
        <v/>
      </c>
      <c r="BE31" s="136" t="str">
        <f ca="1">IF(COUNTA(AA31),OFFSET($C31:AA34,0,0,1,1),"")</f>
        <v/>
      </c>
      <c r="BF31" s="44" t="str">
        <f ca="1">IF(COUNTA(AB31),OFFSET($C31:AB34,0,0,1,1),"")</f>
        <v/>
      </c>
      <c r="BG31" s="44" t="str">
        <f ca="1">IF(COUNTA(AC31),OFFSET($C31:AC34,0,0,1,1),"")</f>
        <v/>
      </c>
      <c r="BH31" s="136" t="str">
        <f ca="1">IF(COUNTA(AD31),OFFSET($C31:AD34,0,0,1,1),"")</f>
        <v/>
      </c>
      <c r="BI31" s="136" t="str">
        <f ca="1">IF(COUNTA(AE31),OFFSET($C31:AE34,0,0,1,1),"")</f>
        <v/>
      </c>
    </row>
    <row r="32" spans="1:61" s="15" customFormat="1" ht="18.45" hidden="1" customHeight="1" x14ac:dyDescent="0.15">
      <c r="A32" s="215"/>
      <c r="B32" s="206"/>
      <c r="C32" s="92" t="s">
        <v>4</v>
      </c>
      <c r="D32" s="123"/>
      <c r="E32" s="45"/>
      <c r="F32" s="45"/>
      <c r="G32" s="45"/>
      <c r="H32" s="123"/>
      <c r="I32" s="45"/>
      <c r="J32" s="45"/>
      <c r="K32" s="45"/>
      <c r="L32" s="123"/>
      <c r="M32" s="45"/>
      <c r="N32" s="45"/>
      <c r="O32" s="45"/>
      <c r="P32" s="123"/>
      <c r="Q32" s="45"/>
      <c r="R32" s="45"/>
      <c r="S32" s="45"/>
      <c r="T32" s="123"/>
      <c r="U32" s="45"/>
      <c r="V32" s="45"/>
      <c r="W32" s="45"/>
      <c r="X32" s="123"/>
      <c r="Y32" s="45"/>
      <c r="Z32" s="45"/>
      <c r="AA32" s="45"/>
      <c r="AB32" s="123"/>
      <c r="AC32" s="45"/>
      <c r="AD32" s="45"/>
      <c r="AE32" s="168"/>
      <c r="AF32" s="36"/>
      <c r="AG32" s="18"/>
      <c r="AH32" s="44" t="str">
        <f ca="1">IF(COUNTA(D32),OFFSET($C32:D35,0,0,1,1),"")</f>
        <v/>
      </c>
      <c r="AI32" s="44" t="str">
        <f ca="1">IF(COUNTA(E32),OFFSET($C32:E35,0,0,1,1),"")</f>
        <v/>
      </c>
      <c r="AJ32" s="136" t="str">
        <f ca="1">IF(COUNTA(F32),OFFSET($C32:F35,0,0,1,1),"")</f>
        <v/>
      </c>
      <c r="AK32" s="136" t="str">
        <f ca="1">IF(COUNTA(G32),OFFSET($C32:G35,0,0,1,1),"")</f>
        <v/>
      </c>
      <c r="AL32" s="44" t="str">
        <f ca="1">IF(COUNTA(H32),OFFSET($C32:H35,0,0,1,1),"")</f>
        <v/>
      </c>
      <c r="AM32" s="44" t="str">
        <f ca="1">IF(COUNTA(I32),OFFSET($C32:I35,0,0,1,1),"")</f>
        <v/>
      </c>
      <c r="AN32" s="136" t="str">
        <f ca="1">IF(COUNTA(J32),OFFSET($C32:J35,0,0,1,1),"")</f>
        <v/>
      </c>
      <c r="AO32" s="136" t="str">
        <f ca="1">IF(COUNTA(K32),OFFSET($C32:K35,0,0,1,1),"")</f>
        <v/>
      </c>
      <c r="AP32" s="44" t="str">
        <f ca="1">IF(COUNTA(L32),OFFSET($C32:L35,0,0,1,1),"")</f>
        <v/>
      </c>
      <c r="AQ32" s="44" t="str">
        <f ca="1">IF(COUNTA(M32),OFFSET($C32:M35,0,0,1,1),"")</f>
        <v/>
      </c>
      <c r="AR32" s="136" t="str">
        <f ca="1">IF(COUNTA(N32),OFFSET($C32:N35,0,0,1,1),"")</f>
        <v/>
      </c>
      <c r="AS32" s="136" t="str">
        <f ca="1">IF(COUNTA(O32),OFFSET($C32:O35,0,0,1,1),"")</f>
        <v/>
      </c>
      <c r="AT32" s="44" t="str">
        <f ca="1">IF(COUNTA(P32),OFFSET($C32:P35,0,0,1,1),"")</f>
        <v/>
      </c>
      <c r="AU32" s="44" t="str">
        <f ca="1">IF(COUNTA(Q32),OFFSET($C32:Q35,0,0,1,1),"")</f>
        <v/>
      </c>
      <c r="AV32" s="136" t="str">
        <f ca="1">IF(COUNTA(R32),OFFSET($C32:R35,0,0,1,1),"")</f>
        <v/>
      </c>
      <c r="AW32" s="136" t="str">
        <f ca="1">IF(COUNTA(S32),OFFSET($C32:S35,0,0,1,1),"")</f>
        <v/>
      </c>
      <c r="AX32" s="44" t="str">
        <f ca="1">IF(COUNTA(T32),OFFSET($C32:T35,0,0,1,1),"")</f>
        <v/>
      </c>
      <c r="AY32" s="44" t="str">
        <f ca="1">IF(COUNTA(U32),OFFSET($C32:U35,0,0,1,1),"")</f>
        <v/>
      </c>
      <c r="AZ32" s="136" t="str">
        <f ca="1">IF(COUNTA(V32),OFFSET($C32:V35,0,0,1,1),"")</f>
        <v/>
      </c>
      <c r="BA32" s="136" t="str">
        <f ca="1">IF(COUNTA(W32),OFFSET($C32:W35,0,0,1,1),"")</f>
        <v/>
      </c>
      <c r="BB32" s="44" t="str">
        <f ca="1">IF(COUNTA(X32),OFFSET($C32:X35,0,0,1,1),"")</f>
        <v/>
      </c>
      <c r="BC32" s="44" t="str">
        <f ca="1">IF(COUNTA(Y32),OFFSET($C32:Y35,0,0,1,1),"")</f>
        <v/>
      </c>
      <c r="BD32" s="136" t="str">
        <f ca="1">IF(COUNTA(Z32),OFFSET($C32:Z35,0,0,1,1),"")</f>
        <v/>
      </c>
      <c r="BE32" s="136" t="str">
        <f ca="1">IF(COUNTA(AA32),OFFSET($C32:AA35,0,0,1,1),"")</f>
        <v/>
      </c>
      <c r="BF32" s="44" t="str">
        <f ca="1">IF(COUNTA(AB32),OFFSET($C32:AB35,0,0,1,1),"")</f>
        <v/>
      </c>
      <c r="BG32" s="44" t="str">
        <f ca="1">IF(COUNTA(AC32),OFFSET($C32:AC35,0,0,1,1),"")</f>
        <v/>
      </c>
      <c r="BH32" s="136" t="str">
        <f ca="1">IF(COUNTA(AD32),OFFSET($C32:AD35,0,0,1,1),"")</f>
        <v/>
      </c>
      <c r="BI32" s="136" t="str">
        <f ca="1">IF(COUNTA(AE32),OFFSET($C32:AE35,0,0,1,1),"")</f>
        <v/>
      </c>
    </row>
    <row r="33" spans="1:61" s="15" customFormat="1" ht="18.45" hidden="1" customHeight="1" x14ac:dyDescent="0.15">
      <c r="A33" s="216"/>
      <c r="B33" s="207"/>
      <c r="C33" s="93" t="s">
        <v>4</v>
      </c>
      <c r="D33" s="124"/>
      <c r="E33" s="43"/>
      <c r="F33" s="43"/>
      <c r="G33" s="43"/>
      <c r="H33" s="124"/>
      <c r="I33" s="43"/>
      <c r="J33" s="43"/>
      <c r="K33" s="43"/>
      <c r="L33" s="124"/>
      <c r="M33" s="43"/>
      <c r="N33" s="43"/>
      <c r="O33" s="43"/>
      <c r="P33" s="124"/>
      <c r="Q33" s="43"/>
      <c r="R33" s="43"/>
      <c r="S33" s="43"/>
      <c r="T33" s="124"/>
      <c r="U33" s="43"/>
      <c r="V33" s="43"/>
      <c r="W33" s="43"/>
      <c r="X33" s="124"/>
      <c r="Y33" s="43"/>
      <c r="Z33" s="43"/>
      <c r="AA33" s="43"/>
      <c r="AB33" s="124"/>
      <c r="AC33" s="43"/>
      <c r="AD33" s="43"/>
      <c r="AE33" s="169"/>
      <c r="AF33" s="36"/>
      <c r="AG33" s="18"/>
      <c r="AH33" s="42" t="str">
        <f ca="1">IF(COUNTA(D33),OFFSET($C33:D36,0,0,1,1),"")</f>
        <v/>
      </c>
      <c r="AI33" s="42" t="str">
        <f ca="1">IF(COUNTA(E33),OFFSET($C33:E36,0,0,1,1),"")</f>
        <v/>
      </c>
      <c r="AJ33" s="137" t="str">
        <f ca="1">IF(COUNTA(F33),OFFSET($C33:F36,0,0,1,1),"")</f>
        <v/>
      </c>
      <c r="AK33" s="137" t="str">
        <f ca="1">IF(COUNTA(G33),OFFSET($C33:G36,0,0,1,1),"")</f>
        <v/>
      </c>
      <c r="AL33" s="42" t="str">
        <f ca="1">IF(COUNTA(H33),OFFSET($C33:H36,0,0,1,1),"")</f>
        <v/>
      </c>
      <c r="AM33" s="42" t="str">
        <f ca="1">IF(COUNTA(I33),OFFSET($C33:I36,0,0,1,1),"")</f>
        <v/>
      </c>
      <c r="AN33" s="137" t="str">
        <f ca="1">IF(COUNTA(J33),OFFSET($C33:J36,0,0,1,1),"")</f>
        <v/>
      </c>
      <c r="AO33" s="137" t="str">
        <f ca="1">IF(COUNTA(K33),OFFSET($C33:K36,0,0,1,1),"")</f>
        <v/>
      </c>
      <c r="AP33" s="42" t="str">
        <f ca="1">IF(COUNTA(L33),OFFSET($C33:L36,0,0,1,1),"")</f>
        <v/>
      </c>
      <c r="AQ33" s="42" t="str">
        <f ca="1">IF(COUNTA(M33),OFFSET($C33:M36,0,0,1,1),"")</f>
        <v/>
      </c>
      <c r="AR33" s="137" t="str">
        <f ca="1">IF(COUNTA(N33),OFFSET($C33:N36,0,0,1,1),"")</f>
        <v/>
      </c>
      <c r="AS33" s="137" t="str">
        <f ca="1">IF(COUNTA(O33),OFFSET($C33:O36,0,0,1,1),"")</f>
        <v/>
      </c>
      <c r="AT33" s="42" t="str">
        <f ca="1">IF(COUNTA(P33),OFFSET($C33:P36,0,0,1,1),"")</f>
        <v/>
      </c>
      <c r="AU33" s="42" t="str">
        <f ca="1">IF(COUNTA(Q33),OFFSET($C33:Q36,0,0,1,1),"")</f>
        <v/>
      </c>
      <c r="AV33" s="137" t="str">
        <f ca="1">IF(COUNTA(R33),OFFSET($C33:R36,0,0,1,1),"")</f>
        <v/>
      </c>
      <c r="AW33" s="137" t="str">
        <f ca="1">IF(COUNTA(S33),OFFSET($C33:S36,0,0,1,1),"")</f>
        <v/>
      </c>
      <c r="AX33" s="42" t="str">
        <f ca="1">IF(COUNTA(T33),OFFSET($C33:T36,0,0,1,1),"")</f>
        <v/>
      </c>
      <c r="AY33" s="42" t="str">
        <f ca="1">IF(COUNTA(U33),OFFSET($C33:U36,0,0,1,1),"")</f>
        <v/>
      </c>
      <c r="AZ33" s="137" t="str">
        <f ca="1">IF(COUNTA(V33),OFFSET($C33:V36,0,0,1,1),"")</f>
        <v/>
      </c>
      <c r="BA33" s="137" t="str">
        <f ca="1">IF(COUNTA(W33),OFFSET($C33:W36,0,0,1,1),"")</f>
        <v/>
      </c>
      <c r="BB33" s="42" t="str">
        <f ca="1">IF(COUNTA(X33),OFFSET($C33:X36,0,0,1,1),"")</f>
        <v/>
      </c>
      <c r="BC33" s="42" t="str">
        <f ca="1">IF(COUNTA(Y33),OFFSET($C33:Y36,0,0,1,1),"")</f>
        <v/>
      </c>
      <c r="BD33" s="137" t="str">
        <f ca="1">IF(COUNTA(Z33),OFFSET($C33:Z36,0,0,1,1),"")</f>
        <v/>
      </c>
      <c r="BE33" s="137" t="str">
        <f ca="1">IF(COUNTA(AA33),OFFSET($C33:AA36,0,0,1,1),"")</f>
        <v/>
      </c>
      <c r="BF33" s="42" t="str">
        <f ca="1">IF(COUNTA(AB33),OFFSET($C33:AB36,0,0,1,1),"")</f>
        <v/>
      </c>
      <c r="BG33" s="42" t="str">
        <f ca="1">IF(COUNTA(AC33),OFFSET($C33:AC36,0,0,1,1),"")</f>
        <v/>
      </c>
      <c r="BH33" s="137" t="str">
        <f ca="1">IF(COUNTA(AD33),OFFSET($C33:AD36,0,0,1,1),"")</f>
        <v/>
      </c>
      <c r="BI33" s="137" t="str">
        <f ca="1">IF(COUNTA(AE33),OFFSET($C33:AE36,0,0,1,1),"")</f>
        <v/>
      </c>
    </row>
    <row r="34" spans="1:61" s="15" customFormat="1" ht="18.45" customHeight="1" x14ac:dyDescent="0.15">
      <c r="A34" s="198" t="s">
        <v>33</v>
      </c>
      <c r="B34" s="198" t="s">
        <v>3</v>
      </c>
      <c r="C34" s="94" t="s">
        <v>3</v>
      </c>
      <c r="D34" s="127" t="s">
        <v>125</v>
      </c>
      <c r="E34" s="71"/>
      <c r="F34" s="71" t="s">
        <v>125</v>
      </c>
      <c r="G34" s="71"/>
      <c r="H34" s="127" t="s">
        <v>125</v>
      </c>
      <c r="I34" s="71"/>
      <c r="J34" s="71" t="s">
        <v>125</v>
      </c>
      <c r="K34" s="71"/>
      <c r="L34" s="127" t="s">
        <v>125</v>
      </c>
      <c r="M34" s="71"/>
      <c r="N34" s="71" t="s">
        <v>125</v>
      </c>
      <c r="O34" s="71"/>
      <c r="P34" s="127" t="s">
        <v>125</v>
      </c>
      <c r="Q34" s="71"/>
      <c r="R34" s="71" t="s">
        <v>125</v>
      </c>
      <c r="S34" s="71"/>
      <c r="T34" s="127" t="s">
        <v>125</v>
      </c>
      <c r="U34" s="71"/>
      <c r="V34" s="71" t="s">
        <v>126</v>
      </c>
      <c r="W34" s="71"/>
      <c r="X34" s="127"/>
      <c r="Y34" s="71"/>
      <c r="Z34" s="71"/>
      <c r="AA34" s="71"/>
      <c r="AB34" s="127"/>
      <c r="AC34" s="71"/>
      <c r="AD34" s="71"/>
      <c r="AE34" s="172"/>
      <c r="AF34" s="36"/>
      <c r="AG34" s="18"/>
      <c r="AH34" s="70" t="str">
        <f ca="1">IF(COUNTA(D34),OFFSET($C34:D37,0,0,1,1),"")</f>
        <v>Cuisine</v>
      </c>
      <c r="AI34" s="70" t="str">
        <f ca="1">IF(COUNTA(E34),OFFSET($C34:E37,0,0,1,1),"")</f>
        <v/>
      </c>
      <c r="AJ34" s="140" t="str">
        <f ca="1">IF(COUNTA(F34),OFFSET($C34:F37,0,0,1,1),"")</f>
        <v>Cuisine</v>
      </c>
      <c r="AK34" s="140" t="str">
        <f ca="1">IF(COUNTA(G34),OFFSET($C34:G37,0,0,1,1),"")</f>
        <v/>
      </c>
      <c r="AL34" s="70" t="str">
        <f ca="1">IF(COUNTA(H34),OFFSET($C34:H37,0,0,1,1),"")</f>
        <v>Cuisine</v>
      </c>
      <c r="AM34" s="70" t="str">
        <f ca="1">IF(COUNTA(I34),OFFSET($C34:I37,0,0,1,1),"")</f>
        <v/>
      </c>
      <c r="AN34" s="140" t="str">
        <f ca="1">IF(COUNTA(J34),OFFSET($C34:J37,0,0,1,1),"")</f>
        <v>Cuisine</v>
      </c>
      <c r="AO34" s="140" t="str">
        <f ca="1">IF(COUNTA(K34),OFFSET($C34:K37,0,0,1,1),"")</f>
        <v/>
      </c>
      <c r="AP34" s="70" t="str">
        <f ca="1">IF(COUNTA(L34),OFFSET($C34:L37,0,0,1,1),"")</f>
        <v>Cuisine</v>
      </c>
      <c r="AQ34" s="70" t="str">
        <f ca="1">IF(COUNTA(M34),OFFSET($C34:M37,0,0,1,1),"")</f>
        <v/>
      </c>
      <c r="AR34" s="140" t="str">
        <f ca="1">IF(COUNTA(N34),OFFSET($C34:N37,0,0,1,1),"")</f>
        <v>Cuisine</v>
      </c>
      <c r="AS34" s="140" t="str">
        <f ca="1">IF(COUNTA(O34),OFFSET($C34:O37,0,0,1,1),"")</f>
        <v/>
      </c>
      <c r="AT34" s="70" t="str">
        <f ca="1">IF(COUNTA(P34),OFFSET($C34:P37,0,0,1,1),"")</f>
        <v>Cuisine</v>
      </c>
      <c r="AU34" s="70" t="str">
        <f ca="1">IF(COUNTA(Q34),OFFSET($C34:Q37,0,0,1,1),"")</f>
        <v/>
      </c>
      <c r="AV34" s="140" t="str">
        <f ca="1">IF(COUNTA(R34),OFFSET($C34:R37,0,0,1,1),"")</f>
        <v>Cuisine</v>
      </c>
      <c r="AW34" s="140" t="str">
        <f ca="1">IF(COUNTA(S34),OFFSET($C34:S37,0,0,1,1),"")</f>
        <v/>
      </c>
      <c r="AX34" s="70" t="str">
        <f ca="1">IF(COUNTA(T34),OFFSET($C34:T37,0,0,1,1),"")</f>
        <v>Cuisine</v>
      </c>
      <c r="AY34" s="70" t="str">
        <f ca="1">IF(COUNTA(U34),OFFSET($C34:U37,0,0,1,1),"")</f>
        <v/>
      </c>
      <c r="AZ34" s="140" t="str">
        <f ca="1">IF(COUNTA(V34),OFFSET($C34:V37,0,0,1,1),"")</f>
        <v>Cuisine</v>
      </c>
      <c r="BA34" s="140" t="str">
        <f ca="1">IF(COUNTA(W34),OFFSET($C34:W37,0,0,1,1),"")</f>
        <v/>
      </c>
      <c r="BB34" s="70" t="str">
        <f ca="1">IF(COUNTA(X34),OFFSET($C34:X37,0,0,1,1),"")</f>
        <v/>
      </c>
      <c r="BC34" s="70" t="str">
        <f ca="1">IF(COUNTA(Y34),OFFSET($C34:Y37,0,0,1,1),"")</f>
        <v/>
      </c>
      <c r="BD34" s="140" t="str">
        <f ca="1">IF(COUNTA(Z34),OFFSET($C34:Z37,0,0,1,1),"")</f>
        <v/>
      </c>
      <c r="BE34" s="140" t="str">
        <f ca="1">IF(COUNTA(AA34),OFFSET($C34:AA37,0,0,1,1),"")</f>
        <v/>
      </c>
      <c r="BF34" s="70" t="str">
        <f ca="1">IF(COUNTA(AB34),OFFSET($C34:AB37,0,0,1,1),"")</f>
        <v/>
      </c>
      <c r="BG34" s="70" t="str">
        <f ca="1">IF(COUNTA(AC34),OFFSET($C34:AC37,0,0,1,1),"")</f>
        <v/>
      </c>
      <c r="BH34" s="140" t="str">
        <f ca="1">IF(COUNTA(AD34),OFFSET($C34:AD37,0,0,1,1),"")</f>
        <v/>
      </c>
      <c r="BI34" s="140" t="str">
        <f ca="1">IF(COUNTA(AE34),OFFSET($C34:AE37,0,0,1,1),"")</f>
        <v/>
      </c>
    </row>
    <row r="35" spans="1:61" s="15" customFormat="1" ht="18.45" customHeight="1" x14ac:dyDescent="0.15">
      <c r="A35" s="199"/>
      <c r="B35" s="199"/>
      <c r="C35" s="95" t="s">
        <v>3</v>
      </c>
      <c r="D35" s="128" t="s">
        <v>175</v>
      </c>
      <c r="E35" s="73"/>
      <c r="F35" s="73" t="s">
        <v>175</v>
      </c>
      <c r="G35" s="73"/>
      <c r="H35" s="128" t="s">
        <v>175</v>
      </c>
      <c r="I35" s="73"/>
      <c r="J35" s="73" t="s">
        <v>175</v>
      </c>
      <c r="K35" s="73"/>
      <c r="L35" s="128" t="s">
        <v>175</v>
      </c>
      <c r="M35" s="73"/>
      <c r="N35" s="73" t="s">
        <v>175</v>
      </c>
      <c r="O35" s="73"/>
      <c r="P35" s="128" t="s">
        <v>126</v>
      </c>
      <c r="Q35" s="73"/>
      <c r="R35" s="73" t="s">
        <v>126</v>
      </c>
      <c r="S35" s="73"/>
      <c r="T35" s="128" t="s">
        <v>126</v>
      </c>
      <c r="U35" s="73"/>
      <c r="V35" s="73" t="s">
        <v>176</v>
      </c>
      <c r="W35" s="73"/>
      <c r="X35" s="128"/>
      <c r="Y35" s="73"/>
      <c r="Z35" s="73"/>
      <c r="AA35" s="73"/>
      <c r="AB35" s="128"/>
      <c r="AC35" s="73"/>
      <c r="AD35" s="73"/>
      <c r="AE35" s="173"/>
      <c r="AF35" s="36"/>
      <c r="AG35" s="18"/>
      <c r="AH35" s="72" t="str">
        <f ca="1">IF(COUNTA(D35),OFFSET($C35:D38,0,0,1,1),"")</f>
        <v>Cuisine</v>
      </c>
      <c r="AI35" s="72" t="str">
        <f ca="1">IF(COUNTA(E35),OFFSET($C35:E38,0,0,1,1),"")</f>
        <v/>
      </c>
      <c r="AJ35" s="141" t="str">
        <f ca="1">IF(COUNTA(F35),OFFSET($C35:F38,0,0,1,1),"")</f>
        <v>Cuisine</v>
      </c>
      <c r="AK35" s="141" t="str">
        <f ca="1">IF(COUNTA(G35),OFFSET($C35:G38,0,0,1,1),"")</f>
        <v/>
      </c>
      <c r="AL35" s="72" t="str">
        <f ca="1">IF(COUNTA(H35),OFFSET($C35:H38,0,0,1,1),"")</f>
        <v>Cuisine</v>
      </c>
      <c r="AM35" s="72" t="str">
        <f ca="1">IF(COUNTA(I35),OFFSET($C35:I38,0,0,1,1),"")</f>
        <v/>
      </c>
      <c r="AN35" s="141" t="str">
        <f ca="1">IF(COUNTA(J35),OFFSET($C35:J38,0,0,1,1),"")</f>
        <v>Cuisine</v>
      </c>
      <c r="AO35" s="141" t="str">
        <f ca="1">IF(COUNTA(K35),OFFSET($C35:K38,0,0,1,1),"")</f>
        <v/>
      </c>
      <c r="AP35" s="72" t="str">
        <f ca="1">IF(COUNTA(L35),OFFSET($C35:L38,0,0,1,1),"")</f>
        <v>Cuisine</v>
      </c>
      <c r="AQ35" s="72" t="str">
        <f ca="1">IF(COUNTA(M35),OFFSET($C35:M38,0,0,1,1),"")</f>
        <v/>
      </c>
      <c r="AR35" s="141" t="str">
        <f ca="1">IF(COUNTA(N35),OFFSET($C35:N38,0,0,1,1),"")</f>
        <v>Cuisine</v>
      </c>
      <c r="AS35" s="141" t="str">
        <f ca="1">IF(COUNTA(O35),OFFSET($C35:O38,0,0,1,1),"")</f>
        <v/>
      </c>
      <c r="AT35" s="72" t="str">
        <f ca="1">IF(COUNTA(P35),OFFSET($C35:P38,0,0,1,1),"")</f>
        <v>Cuisine</v>
      </c>
      <c r="AU35" s="72" t="str">
        <f ca="1">IF(COUNTA(Q35),OFFSET($C35:Q38,0,0,1,1),"")</f>
        <v/>
      </c>
      <c r="AV35" s="141" t="str">
        <f ca="1">IF(COUNTA(R35),OFFSET($C35:R38,0,0,1,1),"")</f>
        <v>Cuisine</v>
      </c>
      <c r="AW35" s="141" t="str">
        <f ca="1">IF(COUNTA(S35),OFFSET($C35:S38,0,0,1,1),"")</f>
        <v/>
      </c>
      <c r="AX35" s="72" t="str">
        <f ca="1">IF(COUNTA(T35),OFFSET($C35:T38,0,0,1,1),"")</f>
        <v>Cuisine</v>
      </c>
      <c r="AY35" s="72" t="str">
        <f ca="1">IF(COUNTA(U35),OFFSET($C35:U38,0,0,1,1),"")</f>
        <v/>
      </c>
      <c r="AZ35" s="141" t="str">
        <f ca="1">IF(COUNTA(V35),OFFSET($C35:V38,0,0,1,1),"")</f>
        <v>Cuisine</v>
      </c>
      <c r="BA35" s="141" t="str">
        <f ca="1">IF(COUNTA(W35),OFFSET($C35:W38,0,0,1,1),"")</f>
        <v/>
      </c>
      <c r="BB35" s="72" t="str">
        <f ca="1">IF(COUNTA(X35),OFFSET($C35:X38,0,0,1,1),"")</f>
        <v/>
      </c>
      <c r="BC35" s="72" t="str">
        <f ca="1">IF(COUNTA(Y35),OFFSET($C35:Y38,0,0,1,1),"")</f>
        <v/>
      </c>
      <c r="BD35" s="141" t="str">
        <f ca="1">IF(COUNTA(Z35),OFFSET($C35:Z38,0,0,1,1),"")</f>
        <v/>
      </c>
      <c r="BE35" s="141" t="str">
        <f ca="1">IF(COUNTA(AA35),OFFSET($C35:AA38,0,0,1,1),"")</f>
        <v/>
      </c>
      <c r="BF35" s="72" t="str">
        <f ca="1">IF(COUNTA(AB35),OFFSET($C35:AB38,0,0,1,1),"")</f>
        <v/>
      </c>
      <c r="BG35" s="72" t="str">
        <f ca="1">IF(COUNTA(AC35),OFFSET($C35:AC38,0,0,1,1),"")</f>
        <v/>
      </c>
      <c r="BH35" s="141" t="str">
        <f ca="1">IF(COUNTA(AD35),OFFSET($C35:AD38,0,0,1,1),"")</f>
        <v/>
      </c>
      <c r="BI35" s="141" t="str">
        <f ca="1">IF(COUNTA(AE35),OFFSET($C35:AE38,0,0,1,1),"")</f>
        <v/>
      </c>
    </row>
    <row r="36" spans="1:61" s="15" customFormat="1" ht="18.45" customHeight="1" x14ac:dyDescent="0.15">
      <c r="A36" s="199"/>
      <c r="B36" s="199"/>
      <c r="C36" s="95" t="s">
        <v>3</v>
      </c>
      <c r="D36" s="128" t="s">
        <v>176</v>
      </c>
      <c r="E36" s="73"/>
      <c r="F36" s="73" t="s">
        <v>176</v>
      </c>
      <c r="G36" s="73"/>
      <c r="H36" s="128" t="s">
        <v>126</v>
      </c>
      <c r="I36" s="73"/>
      <c r="J36" s="73" t="s">
        <v>126</v>
      </c>
      <c r="K36" s="73"/>
      <c r="L36" s="128" t="s">
        <v>148</v>
      </c>
      <c r="M36" s="73"/>
      <c r="N36" s="73" t="s">
        <v>148</v>
      </c>
      <c r="O36" s="73"/>
      <c r="P36" s="128" t="s">
        <v>186</v>
      </c>
      <c r="Q36" s="73"/>
      <c r="R36" s="73" t="s">
        <v>186</v>
      </c>
      <c r="S36" s="73"/>
      <c r="T36" s="128" t="s">
        <v>176</v>
      </c>
      <c r="U36" s="73"/>
      <c r="V36" s="73" t="s">
        <v>128</v>
      </c>
      <c r="W36" s="73"/>
      <c r="X36" s="128"/>
      <c r="Y36" s="73"/>
      <c r="Z36" s="73"/>
      <c r="AA36" s="73"/>
      <c r="AB36" s="128"/>
      <c r="AC36" s="73"/>
      <c r="AD36" s="73"/>
      <c r="AE36" s="173"/>
      <c r="AF36" s="36"/>
      <c r="AG36" s="18"/>
      <c r="AH36" s="72" t="str">
        <f ca="1">IF(COUNTA(D36),OFFSET($C36:D39,0,0,1,1),"")</f>
        <v>Cuisine</v>
      </c>
      <c r="AI36" s="72" t="str">
        <f ca="1">IF(COUNTA(E36),OFFSET($C36:E39,0,0,1,1),"")</f>
        <v/>
      </c>
      <c r="AJ36" s="141" t="str">
        <f ca="1">IF(COUNTA(F36),OFFSET($C36:F39,0,0,1,1),"")</f>
        <v>Cuisine</v>
      </c>
      <c r="AK36" s="141" t="str">
        <f ca="1">IF(COUNTA(G36),OFFSET($C36:G39,0,0,1,1),"")</f>
        <v/>
      </c>
      <c r="AL36" s="72" t="str">
        <f ca="1">IF(COUNTA(H36),OFFSET($C36:H39,0,0,1,1),"")</f>
        <v>Cuisine</v>
      </c>
      <c r="AM36" s="72" t="str">
        <f ca="1">IF(COUNTA(I36),OFFSET($C36:I39,0,0,1,1),"")</f>
        <v/>
      </c>
      <c r="AN36" s="141" t="str">
        <f ca="1">IF(COUNTA(J36),OFFSET($C36:J39,0,0,1,1),"")</f>
        <v>Cuisine</v>
      </c>
      <c r="AO36" s="141" t="str">
        <f ca="1">IF(COUNTA(K36),OFFSET($C36:K39,0,0,1,1),"")</f>
        <v/>
      </c>
      <c r="AP36" s="72" t="str">
        <f ca="1">IF(COUNTA(L36),OFFSET($C36:L39,0,0,1,1),"")</f>
        <v>Cuisine</v>
      </c>
      <c r="AQ36" s="72" t="str">
        <f ca="1">IF(COUNTA(M36),OFFSET($C36:M39,0,0,1,1),"")</f>
        <v/>
      </c>
      <c r="AR36" s="141" t="str">
        <f ca="1">IF(COUNTA(N36),OFFSET($C36:N39,0,0,1,1),"")</f>
        <v>Cuisine</v>
      </c>
      <c r="AS36" s="141" t="str">
        <f ca="1">IF(COUNTA(O36),OFFSET($C36:O39,0,0,1,1),"")</f>
        <v/>
      </c>
      <c r="AT36" s="72" t="str">
        <f ca="1">IF(COUNTA(P36),OFFSET($C36:P39,0,0,1,1),"")</f>
        <v>Cuisine</v>
      </c>
      <c r="AU36" s="72" t="str">
        <f ca="1">IF(COUNTA(Q36),OFFSET($C36:Q39,0,0,1,1),"")</f>
        <v/>
      </c>
      <c r="AV36" s="141" t="str">
        <f ca="1">IF(COUNTA(R36),OFFSET($C36:R39,0,0,1,1),"")</f>
        <v>Cuisine</v>
      </c>
      <c r="AW36" s="141" t="str">
        <f ca="1">IF(COUNTA(S36),OFFSET($C36:S39,0,0,1,1),"")</f>
        <v/>
      </c>
      <c r="AX36" s="72" t="str">
        <f ca="1">IF(COUNTA(T36),OFFSET($C36:T39,0,0,1,1),"")</f>
        <v>Cuisine</v>
      </c>
      <c r="AY36" s="72" t="str">
        <f ca="1">IF(COUNTA(U36),OFFSET($C36:U39,0,0,1,1),"")</f>
        <v/>
      </c>
      <c r="AZ36" s="141" t="str">
        <f ca="1">IF(COUNTA(V36),OFFSET($C36:V39,0,0,1,1),"")</f>
        <v>Cuisine</v>
      </c>
      <c r="BA36" s="141" t="str">
        <f ca="1">IF(COUNTA(W36),OFFSET($C36:W39,0,0,1,1),"")</f>
        <v/>
      </c>
      <c r="BB36" s="72" t="str">
        <f ca="1">IF(COUNTA(X36),OFFSET($C36:X39,0,0,1,1),"")</f>
        <v/>
      </c>
      <c r="BC36" s="72" t="str">
        <f ca="1">IF(COUNTA(Y36),OFFSET($C36:Y39,0,0,1,1),"")</f>
        <v/>
      </c>
      <c r="BD36" s="141" t="str">
        <f ca="1">IF(COUNTA(Z36),OFFSET($C36:Z39,0,0,1,1),"")</f>
        <v/>
      </c>
      <c r="BE36" s="141" t="str">
        <f ca="1">IF(COUNTA(AA36),OFFSET($C36:AA39,0,0,1,1),"")</f>
        <v/>
      </c>
      <c r="BF36" s="72" t="str">
        <f ca="1">IF(COUNTA(AB36),OFFSET($C36:AB39,0,0,1,1),"")</f>
        <v/>
      </c>
      <c r="BG36" s="72" t="str">
        <f ca="1">IF(COUNTA(AC36),OFFSET($C36:AC39,0,0,1,1),"")</f>
        <v/>
      </c>
      <c r="BH36" s="141" t="str">
        <f ca="1">IF(COUNTA(AD36),OFFSET($C36:AD39,0,0,1,1),"")</f>
        <v/>
      </c>
      <c r="BI36" s="141" t="str">
        <f ca="1">IF(COUNTA(AE36),OFFSET($C36:AE39,0,0,1,1),"")</f>
        <v/>
      </c>
    </row>
    <row r="37" spans="1:61" s="15" customFormat="1" ht="18.45" customHeight="1" x14ac:dyDescent="0.15">
      <c r="A37" s="199"/>
      <c r="B37" s="199"/>
      <c r="C37" s="95" t="s">
        <v>3</v>
      </c>
      <c r="D37" s="128" t="s">
        <v>127</v>
      </c>
      <c r="E37" s="73"/>
      <c r="F37" s="73" t="s">
        <v>128</v>
      </c>
      <c r="G37" s="73"/>
      <c r="H37" s="128" t="s">
        <v>186</v>
      </c>
      <c r="I37" s="73"/>
      <c r="J37" s="73" t="s">
        <v>186</v>
      </c>
      <c r="K37" s="73"/>
      <c r="L37" s="128" t="s">
        <v>144</v>
      </c>
      <c r="M37" s="73"/>
      <c r="N37" s="73" t="s">
        <v>144</v>
      </c>
      <c r="O37" s="73"/>
      <c r="P37" s="128" t="s">
        <v>144</v>
      </c>
      <c r="Q37" s="73"/>
      <c r="R37" s="73" t="s">
        <v>128</v>
      </c>
      <c r="S37" s="73"/>
      <c r="T37" s="128" t="s">
        <v>127</v>
      </c>
      <c r="U37" s="73"/>
      <c r="V37" s="73"/>
      <c r="W37" s="73"/>
      <c r="X37" s="128"/>
      <c r="Y37" s="73"/>
      <c r="Z37" s="73"/>
      <c r="AA37" s="73"/>
      <c r="AB37" s="128"/>
      <c r="AC37" s="73"/>
      <c r="AD37" s="73"/>
      <c r="AE37" s="173"/>
      <c r="AF37" s="36"/>
      <c r="AG37" s="18"/>
      <c r="AH37" s="72" t="str">
        <f ca="1">IF(COUNTA(D37),OFFSET($C37:D40,0,0,1,1),"")</f>
        <v>Cuisine</v>
      </c>
      <c r="AI37" s="72" t="str">
        <f ca="1">IF(COUNTA(E37),OFFSET($C37:E40,0,0,1,1),"")</f>
        <v/>
      </c>
      <c r="AJ37" s="141" t="str">
        <f ca="1">IF(COUNTA(F37),OFFSET($C37:F40,0,0,1,1),"")</f>
        <v>Cuisine</v>
      </c>
      <c r="AK37" s="141" t="str">
        <f ca="1">IF(COUNTA(G37),OFFSET($C37:G40,0,0,1,1),"")</f>
        <v/>
      </c>
      <c r="AL37" s="72" t="str">
        <f ca="1">IF(COUNTA(H37),OFFSET($C37:H40,0,0,1,1),"")</f>
        <v>Cuisine</v>
      </c>
      <c r="AM37" s="72" t="str">
        <f ca="1">IF(COUNTA(I37),OFFSET($C37:I40,0,0,1,1),"")</f>
        <v/>
      </c>
      <c r="AN37" s="141" t="str">
        <f ca="1">IF(COUNTA(J37),OFFSET($C37:J40,0,0,1,1),"")</f>
        <v>Cuisine</v>
      </c>
      <c r="AO37" s="141" t="str">
        <f ca="1">IF(COUNTA(K37),OFFSET($C37:K40,0,0,1,1),"")</f>
        <v/>
      </c>
      <c r="AP37" s="72" t="str">
        <f ca="1">IF(COUNTA(L37),OFFSET($C37:L40,0,0,1,1),"")</f>
        <v>Cuisine</v>
      </c>
      <c r="AQ37" s="72" t="str">
        <f ca="1">IF(COUNTA(M37),OFFSET($C37:M40,0,0,1,1),"")</f>
        <v/>
      </c>
      <c r="AR37" s="141" t="str">
        <f ca="1">IF(COUNTA(N37),OFFSET($C37:N40,0,0,1,1),"")</f>
        <v>Cuisine</v>
      </c>
      <c r="AS37" s="141" t="str">
        <f ca="1">IF(COUNTA(O37),OFFSET($C37:O40,0,0,1,1),"")</f>
        <v/>
      </c>
      <c r="AT37" s="72" t="str">
        <f ca="1">IF(COUNTA(P37),OFFSET($C37:P40,0,0,1,1),"")</f>
        <v>Cuisine</v>
      </c>
      <c r="AU37" s="72" t="str">
        <f ca="1">IF(COUNTA(Q37),OFFSET($C37:Q40,0,0,1,1),"")</f>
        <v/>
      </c>
      <c r="AV37" s="141" t="str">
        <f ca="1">IF(COUNTA(R37),OFFSET($C37:R40,0,0,1,1),"")</f>
        <v>Cuisine</v>
      </c>
      <c r="AW37" s="141" t="str">
        <f ca="1">IF(COUNTA(S37),OFFSET($C37:S40,0,0,1,1),"")</f>
        <v/>
      </c>
      <c r="AX37" s="72" t="str">
        <f ca="1">IF(COUNTA(T37),OFFSET($C37:T40,0,0,1,1),"")</f>
        <v>Cuisine</v>
      </c>
      <c r="AY37" s="72" t="str">
        <f ca="1">IF(COUNTA(U37),OFFSET($C37:U40,0,0,1,1),"")</f>
        <v/>
      </c>
      <c r="AZ37" s="141" t="str">
        <f ca="1">IF(COUNTA(V37),OFFSET($C37:V40,0,0,1,1),"")</f>
        <v/>
      </c>
      <c r="BA37" s="141" t="str">
        <f ca="1">IF(COUNTA(W37),OFFSET($C37:W40,0,0,1,1),"")</f>
        <v/>
      </c>
      <c r="BB37" s="72" t="str">
        <f ca="1">IF(COUNTA(X37),OFFSET($C37:X40,0,0,1,1),"")</f>
        <v/>
      </c>
      <c r="BC37" s="72" t="str">
        <f ca="1">IF(COUNTA(Y37),OFFSET($C37:Y40,0,0,1,1),"")</f>
        <v/>
      </c>
      <c r="BD37" s="141" t="str">
        <f ca="1">IF(COUNTA(Z37),OFFSET($C37:Z40,0,0,1,1),"")</f>
        <v/>
      </c>
      <c r="BE37" s="141" t="str">
        <f ca="1">IF(COUNTA(AA37),OFFSET($C37:AA40,0,0,1,1),"")</f>
        <v/>
      </c>
      <c r="BF37" s="72" t="str">
        <f ca="1">IF(COUNTA(AB37),OFFSET($C37:AB40,0,0,1,1),"")</f>
        <v/>
      </c>
      <c r="BG37" s="72" t="str">
        <f ca="1">IF(COUNTA(AC37),OFFSET($C37:AC40,0,0,1,1),"")</f>
        <v/>
      </c>
      <c r="BH37" s="141" t="str">
        <f ca="1">IF(COUNTA(AD37),OFFSET($C37:AD40,0,0,1,1),"")</f>
        <v/>
      </c>
      <c r="BI37" s="141" t="str">
        <f ca="1">IF(COUNTA(AE37),OFFSET($C37:AE40,0,0,1,1),"")</f>
        <v/>
      </c>
    </row>
    <row r="38" spans="1:61" s="15" customFormat="1" ht="18.45" customHeight="1" x14ac:dyDescent="0.15">
      <c r="A38" s="199"/>
      <c r="B38" s="199"/>
      <c r="C38" s="95" t="s">
        <v>3</v>
      </c>
      <c r="D38" s="128" t="s">
        <v>128</v>
      </c>
      <c r="E38" s="73"/>
      <c r="F38" s="73" t="s">
        <v>177</v>
      </c>
      <c r="G38" s="73"/>
      <c r="H38" s="128" t="s">
        <v>144</v>
      </c>
      <c r="I38" s="73"/>
      <c r="J38" s="73" t="s">
        <v>128</v>
      </c>
      <c r="K38" s="73"/>
      <c r="L38" s="128" t="s">
        <v>128</v>
      </c>
      <c r="M38" s="73"/>
      <c r="N38" s="73" t="s">
        <v>128</v>
      </c>
      <c r="O38" s="73"/>
      <c r="P38" s="128" t="s">
        <v>127</v>
      </c>
      <c r="Q38" s="73"/>
      <c r="R38" s="73" t="s">
        <v>129</v>
      </c>
      <c r="S38" s="73"/>
      <c r="T38" s="128" t="s">
        <v>128</v>
      </c>
      <c r="U38" s="73"/>
      <c r="V38" s="73"/>
      <c r="W38" s="73"/>
      <c r="X38" s="128"/>
      <c r="Y38" s="73"/>
      <c r="Z38" s="73"/>
      <c r="AA38" s="73"/>
      <c r="AB38" s="128"/>
      <c r="AC38" s="73"/>
      <c r="AD38" s="73"/>
      <c r="AE38" s="173"/>
      <c r="AF38" s="36"/>
      <c r="AG38" s="18"/>
      <c r="AH38" s="72" t="str">
        <f ca="1">IF(COUNTA(D38),OFFSET($C38:D41,0,0,1,1),"")</f>
        <v>Cuisine</v>
      </c>
      <c r="AI38" s="72" t="str">
        <f ca="1">IF(COUNTA(E38),OFFSET($C38:E41,0,0,1,1),"")</f>
        <v/>
      </c>
      <c r="AJ38" s="141" t="str">
        <f ca="1">IF(COUNTA(F38),OFFSET($C38:F41,0,0,1,1),"")</f>
        <v>Cuisine</v>
      </c>
      <c r="AK38" s="141" t="str">
        <f ca="1">IF(COUNTA(G38),OFFSET($C38:G41,0,0,1,1),"")</f>
        <v/>
      </c>
      <c r="AL38" s="72" t="str">
        <f ca="1">IF(COUNTA(H38),OFFSET($C38:H41,0,0,1,1),"")</f>
        <v>Cuisine</v>
      </c>
      <c r="AM38" s="72" t="str">
        <f ca="1">IF(COUNTA(I38),OFFSET($C38:I41,0,0,1,1),"")</f>
        <v/>
      </c>
      <c r="AN38" s="141" t="str">
        <f ca="1">IF(COUNTA(J38),OFFSET($C38:J41,0,0,1,1),"")</f>
        <v>Cuisine</v>
      </c>
      <c r="AO38" s="141" t="str">
        <f ca="1">IF(COUNTA(K38),OFFSET($C38:K41,0,0,1,1),"")</f>
        <v/>
      </c>
      <c r="AP38" s="72" t="str">
        <f ca="1">IF(COUNTA(L38),OFFSET($C38:L41,0,0,1,1),"")</f>
        <v>Cuisine</v>
      </c>
      <c r="AQ38" s="72" t="str">
        <f ca="1">IF(COUNTA(M38),OFFSET($C38:M41,0,0,1,1),"")</f>
        <v/>
      </c>
      <c r="AR38" s="141" t="str">
        <f ca="1">IF(COUNTA(N38),OFFSET($C38:N41,0,0,1,1),"")</f>
        <v>Cuisine</v>
      </c>
      <c r="AS38" s="141" t="str">
        <f ca="1">IF(COUNTA(O38),OFFSET($C38:O41,0,0,1,1),"")</f>
        <v/>
      </c>
      <c r="AT38" s="72" t="str">
        <f ca="1">IF(COUNTA(P38),OFFSET($C38:P41,0,0,1,1),"")</f>
        <v>Cuisine</v>
      </c>
      <c r="AU38" s="72" t="str">
        <f ca="1">IF(COUNTA(Q38),OFFSET($C38:Q41,0,0,1,1),"")</f>
        <v/>
      </c>
      <c r="AV38" s="141" t="str">
        <f ca="1">IF(COUNTA(R38),OFFSET($C38:R41,0,0,1,1),"")</f>
        <v>Cuisine</v>
      </c>
      <c r="AW38" s="141" t="str">
        <f ca="1">IF(COUNTA(S38),OFFSET($C38:S41,0,0,1,1),"")</f>
        <v/>
      </c>
      <c r="AX38" s="72" t="str">
        <f ca="1">IF(COUNTA(T38),OFFSET($C38:T41,0,0,1,1),"")</f>
        <v>Cuisine</v>
      </c>
      <c r="AY38" s="72" t="str">
        <f ca="1">IF(COUNTA(U38),OFFSET($C38:U41,0,0,1,1),"")</f>
        <v/>
      </c>
      <c r="AZ38" s="141" t="str">
        <f ca="1">IF(COUNTA(V38),OFFSET($C38:V41,0,0,1,1),"")</f>
        <v/>
      </c>
      <c r="BA38" s="141" t="str">
        <f ca="1">IF(COUNTA(W38),OFFSET($C38:W41,0,0,1,1),"")</f>
        <v/>
      </c>
      <c r="BB38" s="72" t="str">
        <f ca="1">IF(COUNTA(X38),OFFSET($C38:X41,0,0,1,1),"")</f>
        <v/>
      </c>
      <c r="BC38" s="72" t="str">
        <f ca="1">IF(COUNTA(Y38),OFFSET($C38:Y41,0,0,1,1),"")</f>
        <v/>
      </c>
      <c r="BD38" s="141" t="str">
        <f ca="1">IF(COUNTA(Z38),OFFSET($C38:Z41,0,0,1,1),"")</f>
        <v/>
      </c>
      <c r="BE38" s="141" t="str">
        <f ca="1">IF(COUNTA(AA38),OFFSET($C38:AA41,0,0,1,1),"")</f>
        <v/>
      </c>
      <c r="BF38" s="72" t="str">
        <f ca="1">IF(COUNTA(AB38),OFFSET($C38:AB41,0,0,1,1),"")</f>
        <v/>
      </c>
      <c r="BG38" s="72" t="str">
        <f ca="1">IF(COUNTA(AC38),OFFSET($C38:AC41,0,0,1,1),"")</f>
        <v/>
      </c>
      <c r="BH38" s="141" t="str">
        <f ca="1">IF(COUNTA(AD38),OFFSET($C38:AD41,0,0,1,1),"")</f>
        <v/>
      </c>
      <c r="BI38" s="141" t="str">
        <f ca="1">IF(COUNTA(AE38),OFFSET($C38:AE41,0,0,1,1),"")</f>
        <v/>
      </c>
    </row>
    <row r="39" spans="1:61" s="15" customFormat="1" ht="18.45" customHeight="1" x14ac:dyDescent="0.15">
      <c r="A39" s="199"/>
      <c r="B39" s="199"/>
      <c r="C39" s="95" t="s">
        <v>3</v>
      </c>
      <c r="D39" s="128" t="s">
        <v>129</v>
      </c>
      <c r="E39" s="73"/>
      <c r="F39" s="73"/>
      <c r="G39" s="73"/>
      <c r="H39" s="128" t="s">
        <v>127</v>
      </c>
      <c r="I39" s="73"/>
      <c r="J39" s="73"/>
      <c r="K39" s="73"/>
      <c r="L39" s="128" t="s">
        <v>129</v>
      </c>
      <c r="M39" s="73"/>
      <c r="N39" s="73" t="s">
        <v>177</v>
      </c>
      <c r="O39" s="73"/>
      <c r="P39" s="128" t="s">
        <v>128</v>
      </c>
      <c r="Q39" s="73"/>
      <c r="R39" s="73" t="s">
        <v>177</v>
      </c>
      <c r="S39" s="73"/>
      <c r="T39" s="128"/>
      <c r="U39" s="73"/>
      <c r="V39" s="73"/>
      <c r="W39" s="73"/>
      <c r="X39" s="128"/>
      <c r="Y39" s="73"/>
      <c r="Z39" s="73"/>
      <c r="AA39" s="73"/>
      <c r="AB39" s="128"/>
      <c r="AC39" s="73"/>
      <c r="AD39" s="73"/>
      <c r="AE39" s="173"/>
      <c r="AF39" s="36"/>
      <c r="AG39" s="18"/>
      <c r="AH39" s="72" t="str">
        <f ca="1">IF(COUNTA(D39),OFFSET($C39:D41,0,0,1,1),"")</f>
        <v>Cuisine</v>
      </c>
      <c r="AI39" s="72" t="str">
        <f ca="1">IF(COUNTA(E39),OFFSET($C39:E41,0,0,1,1),"")</f>
        <v/>
      </c>
      <c r="AJ39" s="141" t="str">
        <f ca="1">IF(COUNTA(F39),OFFSET($C39:F41,0,0,1,1),"")</f>
        <v/>
      </c>
      <c r="AK39" s="141" t="str">
        <f ca="1">IF(COUNTA(G39),OFFSET($C39:G41,0,0,1,1),"")</f>
        <v/>
      </c>
      <c r="AL39" s="72" t="str">
        <f ca="1">IF(COUNTA(H39),OFFSET($C39:H41,0,0,1,1),"")</f>
        <v>Cuisine</v>
      </c>
      <c r="AM39" s="72" t="str">
        <f ca="1">IF(COUNTA(I39),OFFSET($C39:I41,0,0,1,1),"")</f>
        <v/>
      </c>
      <c r="AN39" s="141" t="str">
        <f ca="1">IF(COUNTA(J39),OFFSET($C39:J41,0,0,1,1),"")</f>
        <v/>
      </c>
      <c r="AO39" s="141" t="str">
        <f ca="1">IF(COUNTA(K39),OFFSET($C39:K41,0,0,1,1),"")</f>
        <v/>
      </c>
      <c r="AP39" s="72" t="str">
        <f ca="1">IF(COUNTA(L39),OFFSET($C39:L41,0,0,1,1),"")</f>
        <v>Cuisine</v>
      </c>
      <c r="AQ39" s="72" t="str">
        <f ca="1">IF(COUNTA(M39),OFFSET($C39:M41,0,0,1,1),"")</f>
        <v/>
      </c>
      <c r="AR39" s="141" t="str">
        <f ca="1">IF(COUNTA(N39),OFFSET($C39:N41,0,0,1,1),"")</f>
        <v>Cuisine</v>
      </c>
      <c r="AS39" s="141" t="str">
        <f ca="1">IF(COUNTA(O39),OFFSET($C39:O41,0,0,1,1),"")</f>
        <v/>
      </c>
      <c r="AT39" s="72" t="str">
        <f ca="1">IF(COUNTA(P39),OFFSET($C39:P41,0,0,1,1),"")</f>
        <v>Cuisine</v>
      </c>
      <c r="AU39" s="72" t="str">
        <f ca="1">IF(COUNTA(Q39),OFFSET($C39:Q41,0,0,1,1),"")</f>
        <v/>
      </c>
      <c r="AV39" s="141" t="str">
        <f ca="1">IF(COUNTA(R39),OFFSET($C39:R41,0,0,1,1),"")</f>
        <v>Cuisine</v>
      </c>
      <c r="AW39" s="141" t="str">
        <f ca="1">IF(COUNTA(S39),OFFSET($C39:S41,0,0,1,1),"")</f>
        <v/>
      </c>
      <c r="AX39" s="72" t="str">
        <f ca="1">IF(COUNTA(T39),OFFSET($C39:T41,0,0,1,1),"")</f>
        <v/>
      </c>
      <c r="AY39" s="72" t="str">
        <f ca="1">IF(COUNTA(U39),OFFSET($C39:U41,0,0,1,1),"")</f>
        <v/>
      </c>
      <c r="AZ39" s="141" t="str">
        <f ca="1">IF(COUNTA(V39),OFFSET($C39:V41,0,0,1,1),"")</f>
        <v/>
      </c>
      <c r="BA39" s="141" t="str">
        <f ca="1">IF(COUNTA(W39),OFFSET($C39:W41,0,0,1,1),"")</f>
        <v/>
      </c>
      <c r="BB39" s="72" t="str">
        <f ca="1">IF(COUNTA(X39),OFFSET($C39:X41,0,0,1,1),"")</f>
        <v/>
      </c>
      <c r="BC39" s="72" t="str">
        <f ca="1">IF(COUNTA(Y39),OFFSET($C39:Y41,0,0,1,1),"")</f>
        <v/>
      </c>
      <c r="BD39" s="141" t="str">
        <f ca="1">IF(COUNTA(Z39),OFFSET($C39:Z41,0,0,1,1),"")</f>
        <v/>
      </c>
      <c r="BE39" s="141" t="str">
        <f ca="1">IF(COUNTA(AA39),OFFSET($C39:AA41,0,0,1,1),"")</f>
        <v/>
      </c>
      <c r="BF39" s="72" t="str">
        <f ca="1">IF(COUNTA(AB39),OFFSET($C39:AB41,0,0,1,1),"")</f>
        <v/>
      </c>
      <c r="BG39" s="72" t="str">
        <f ca="1">IF(COUNTA(AC39),OFFSET($C39:AC41,0,0,1,1),"")</f>
        <v/>
      </c>
      <c r="BH39" s="141" t="str">
        <f ca="1">IF(COUNTA(AD39),OFFSET($C39:AD41,0,0,1,1),"")</f>
        <v/>
      </c>
      <c r="BI39" s="141" t="str">
        <f ca="1">IF(COUNTA(AE39),OFFSET($C39:AE41,0,0,1,1),"")</f>
        <v/>
      </c>
    </row>
    <row r="40" spans="1:61" s="15" customFormat="1" ht="18.45" customHeight="1" x14ac:dyDescent="0.15">
      <c r="A40" s="199"/>
      <c r="B40" s="199"/>
      <c r="C40" s="95" t="s">
        <v>3</v>
      </c>
      <c r="D40" s="128" t="s">
        <v>177</v>
      </c>
      <c r="E40" s="73"/>
      <c r="F40" s="73"/>
      <c r="G40" s="73"/>
      <c r="H40" s="128" t="s">
        <v>128</v>
      </c>
      <c r="I40" s="73"/>
      <c r="J40" s="73"/>
      <c r="K40" s="73"/>
      <c r="L40" s="128" t="s">
        <v>177</v>
      </c>
      <c r="M40" s="73"/>
      <c r="N40" s="73"/>
      <c r="O40" s="73"/>
      <c r="P40" s="128" t="s">
        <v>129</v>
      </c>
      <c r="Q40" s="73"/>
      <c r="R40" s="73"/>
      <c r="S40" s="73"/>
      <c r="T40" s="128"/>
      <c r="U40" s="73"/>
      <c r="V40" s="73"/>
      <c r="W40" s="73"/>
      <c r="X40" s="128"/>
      <c r="Y40" s="73"/>
      <c r="Z40" s="73"/>
      <c r="AA40" s="73"/>
      <c r="AB40" s="128"/>
      <c r="AC40" s="73"/>
      <c r="AD40" s="73"/>
      <c r="AE40" s="173"/>
      <c r="AF40" s="36"/>
      <c r="AG40" s="18"/>
      <c r="AH40" s="72" t="str">
        <f ca="1">IF(COUNTA(D40),OFFSET($C40:D41,0,0,1,1),"")</f>
        <v>Cuisine</v>
      </c>
      <c r="AI40" s="72" t="str">
        <f ca="1">IF(COUNTA(E40),OFFSET($C40:E41,0,0,1,1),"")</f>
        <v/>
      </c>
      <c r="AJ40" s="141" t="str">
        <f ca="1">IF(COUNTA(F40),OFFSET($C40:F41,0,0,1,1),"")</f>
        <v/>
      </c>
      <c r="AK40" s="141" t="str">
        <f ca="1">IF(COUNTA(G40),OFFSET($C40:G41,0,0,1,1),"")</f>
        <v/>
      </c>
      <c r="AL40" s="72" t="str">
        <f ca="1">IF(COUNTA(H40),OFFSET($C40:H41,0,0,1,1),"")</f>
        <v>Cuisine</v>
      </c>
      <c r="AM40" s="72" t="str">
        <f ca="1">IF(COUNTA(I40),OFFSET($C40:I41,0,0,1,1),"")</f>
        <v/>
      </c>
      <c r="AN40" s="141" t="str">
        <f ca="1">IF(COUNTA(J40),OFFSET($C40:J41,0,0,1,1),"")</f>
        <v/>
      </c>
      <c r="AO40" s="141" t="str">
        <f ca="1">IF(COUNTA(K40),OFFSET($C40:K41,0,0,1,1),"")</f>
        <v/>
      </c>
      <c r="AP40" s="72" t="str">
        <f ca="1">IF(COUNTA(L40),OFFSET($C40:L41,0,0,1,1),"")</f>
        <v>Cuisine</v>
      </c>
      <c r="AQ40" s="72" t="str">
        <f ca="1">IF(COUNTA(M40),OFFSET($C40:M41,0,0,1,1),"")</f>
        <v/>
      </c>
      <c r="AR40" s="141" t="str">
        <f ca="1">IF(COUNTA(N40),OFFSET($C40:N41,0,0,1,1),"")</f>
        <v/>
      </c>
      <c r="AS40" s="141" t="str">
        <f ca="1">IF(COUNTA(O40),OFFSET($C40:O41,0,0,1,1),"")</f>
        <v/>
      </c>
      <c r="AT40" s="72" t="str">
        <f ca="1">IF(COUNTA(P40),OFFSET($C40:P41,0,0,1,1),"")</f>
        <v>Cuisine</v>
      </c>
      <c r="AU40" s="72" t="str">
        <f ca="1">IF(COUNTA(Q40),OFFSET($C40:Q41,0,0,1,1),"")</f>
        <v/>
      </c>
      <c r="AV40" s="141" t="str">
        <f ca="1">IF(COUNTA(R40),OFFSET($C40:R41,0,0,1,1),"")</f>
        <v/>
      </c>
      <c r="AW40" s="141" t="str">
        <f ca="1">IF(COUNTA(S40),OFFSET($C40:S41,0,0,1,1),"")</f>
        <v/>
      </c>
      <c r="AX40" s="72" t="str">
        <f ca="1">IF(COUNTA(T40),OFFSET($C40:T41,0,0,1,1),"")</f>
        <v/>
      </c>
      <c r="AY40" s="72" t="str">
        <f ca="1">IF(COUNTA(U40),OFFSET($C40:U41,0,0,1,1),"")</f>
        <v/>
      </c>
      <c r="AZ40" s="141" t="str">
        <f ca="1">IF(COUNTA(V40),OFFSET($C40:V41,0,0,1,1),"")</f>
        <v/>
      </c>
      <c r="BA40" s="141" t="str">
        <f ca="1">IF(COUNTA(W40),OFFSET($C40:W41,0,0,1,1),"")</f>
        <v/>
      </c>
      <c r="BB40" s="72" t="str">
        <f ca="1">IF(COUNTA(X40),OFFSET($C40:X41,0,0,1,1),"")</f>
        <v/>
      </c>
      <c r="BC40" s="72" t="str">
        <f ca="1">IF(COUNTA(Y40),OFFSET($C40:Y41,0,0,1,1),"")</f>
        <v/>
      </c>
      <c r="BD40" s="141" t="str">
        <f ca="1">IF(COUNTA(Z40),OFFSET($C40:Z41,0,0,1,1),"")</f>
        <v/>
      </c>
      <c r="BE40" s="141" t="str">
        <f ca="1">IF(COUNTA(AA40),OFFSET($C40:AA41,0,0,1,1),"")</f>
        <v/>
      </c>
      <c r="BF40" s="72" t="str">
        <f ca="1">IF(COUNTA(AB40),OFFSET($C40:AB41,0,0,1,1),"")</f>
        <v/>
      </c>
      <c r="BG40" s="72" t="str">
        <f ca="1">IF(COUNTA(AC40),OFFSET($C40:AC41,0,0,1,1),"")</f>
        <v/>
      </c>
      <c r="BH40" s="141" t="str">
        <f ca="1">IF(COUNTA(AD40),OFFSET($C40:AD41,0,0,1,1),"")</f>
        <v/>
      </c>
      <c r="BI40" s="141" t="str">
        <f ca="1">IF(COUNTA(AE40),OFFSET($C40:AE41,0,0,1,1),"")</f>
        <v/>
      </c>
    </row>
    <row r="41" spans="1:61" s="15" customFormat="1" ht="18.45" customHeight="1" x14ac:dyDescent="0.15">
      <c r="A41" s="199"/>
      <c r="B41" s="199"/>
      <c r="C41" s="95" t="s">
        <v>3</v>
      </c>
      <c r="D41" s="128"/>
      <c r="E41" s="73"/>
      <c r="F41" s="73"/>
      <c r="G41" s="73"/>
      <c r="H41" s="128"/>
      <c r="I41" s="73"/>
      <c r="J41" s="73"/>
      <c r="K41" s="73"/>
      <c r="L41" s="128"/>
      <c r="M41" s="73"/>
      <c r="N41" s="73"/>
      <c r="O41" s="73"/>
      <c r="P41" s="128"/>
      <c r="Q41" s="73"/>
      <c r="R41" s="73"/>
      <c r="S41" s="73"/>
      <c r="T41" s="128"/>
      <c r="U41" s="73"/>
      <c r="V41" s="73"/>
      <c r="W41" s="73"/>
      <c r="X41" s="128"/>
      <c r="Y41" s="73"/>
      <c r="Z41" s="73"/>
      <c r="AA41" s="73"/>
      <c r="AB41" s="128"/>
      <c r="AC41" s="73"/>
      <c r="AD41" s="73"/>
      <c r="AE41" s="173"/>
      <c r="AF41" s="36"/>
      <c r="AG41" s="18"/>
      <c r="AH41" s="72" t="str">
        <f ca="1">IF(COUNTA(D41),OFFSET($C41:D42,0,0,1,1),"")</f>
        <v/>
      </c>
      <c r="AI41" s="72" t="str">
        <f ca="1">IF(COUNTA(E41),OFFSET($C41:E42,0,0,1,1),"")</f>
        <v/>
      </c>
      <c r="AJ41" s="141" t="str">
        <f ca="1">IF(COUNTA(F41),OFFSET($C41:F42,0,0,1,1),"")</f>
        <v/>
      </c>
      <c r="AK41" s="141" t="str">
        <f ca="1">IF(COUNTA(G41),OFFSET($C41:G42,0,0,1,1),"")</f>
        <v/>
      </c>
      <c r="AL41" s="72" t="str">
        <f ca="1">IF(COUNTA(H41),OFFSET($C41:H42,0,0,1,1),"")</f>
        <v/>
      </c>
      <c r="AM41" s="72" t="str">
        <f ca="1">IF(COUNTA(I41),OFFSET($C41:I42,0,0,1,1),"")</f>
        <v/>
      </c>
      <c r="AN41" s="141" t="str">
        <f ca="1">IF(COUNTA(J41),OFFSET($C41:J42,0,0,1,1),"")</f>
        <v/>
      </c>
      <c r="AO41" s="141" t="str">
        <f ca="1">IF(COUNTA(K41),OFFSET($C41:K42,0,0,1,1),"")</f>
        <v/>
      </c>
      <c r="AP41" s="72" t="str">
        <f ca="1">IF(COUNTA(L41),OFFSET($C41:L42,0,0,1,1),"")</f>
        <v/>
      </c>
      <c r="AQ41" s="72" t="str">
        <f ca="1">IF(COUNTA(M41),OFFSET($C41:M42,0,0,1,1),"")</f>
        <v/>
      </c>
      <c r="AR41" s="141" t="str">
        <f ca="1">IF(COUNTA(N41),OFFSET($C41:N42,0,0,1,1),"")</f>
        <v/>
      </c>
      <c r="AS41" s="141" t="str">
        <f ca="1">IF(COUNTA(O41),OFFSET($C41:O42,0,0,1,1),"")</f>
        <v/>
      </c>
      <c r="AT41" s="72" t="str">
        <f ca="1">IF(COUNTA(P41),OFFSET($C41:P42,0,0,1,1),"")</f>
        <v/>
      </c>
      <c r="AU41" s="72" t="str">
        <f ca="1">IF(COUNTA(Q41),OFFSET($C41:Q42,0,0,1,1),"")</f>
        <v/>
      </c>
      <c r="AV41" s="141" t="str">
        <f ca="1">IF(COUNTA(R41),OFFSET($C41:R42,0,0,1,1),"")</f>
        <v/>
      </c>
      <c r="AW41" s="141" t="str">
        <f ca="1">IF(COUNTA(S41),OFFSET($C41:S42,0,0,1,1),"")</f>
        <v/>
      </c>
      <c r="AX41" s="72" t="str">
        <f ca="1">IF(COUNTA(T41),OFFSET($C41:T42,0,0,1,1),"")</f>
        <v/>
      </c>
      <c r="AY41" s="72" t="str">
        <f ca="1">IF(COUNTA(U41),OFFSET($C41:U42,0,0,1,1),"")</f>
        <v/>
      </c>
      <c r="AZ41" s="141" t="str">
        <f ca="1">IF(COUNTA(V41),OFFSET($C41:V42,0,0,1,1),"")</f>
        <v/>
      </c>
      <c r="BA41" s="141" t="str">
        <f ca="1">IF(COUNTA(W41),OFFSET($C41:W42,0,0,1,1),"")</f>
        <v/>
      </c>
      <c r="BB41" s="72" t="str">
        <f ca="1">IF(COUNTA(X41),OFFSET($C41:X42,0,0,1,1),"")</f>
        <v/>
      </c>
      <c r="BC41" s="72" t="str">
        <f ca="1">IF(COUNTA(Y41),OFFSET($C41:Y42,0,0,1,1),"")</f>
        <v/>
      </c>
      <c r="BD41" s="141" t="str">
        <f ca="1">IF(COUNTA(Z41),OFFSET($C41:Z42,0,0,1,1),"")</f>
        <v/>
      </c>
      <c r="BE41" s="141" t="str">
        <f ca="1">IF(COUNTA(AA41),OFFSET($C41:AA42,0,0,1,1),"")</f>
        <v/>
      </c>
      <c r="BF41" s="72" t="str">
        <f ca="1">IF(COUNTA(AB41),OFFSET($C41:AB42,0,0,1,1),"")</f>
        <v/>
      </c>
      <c r="BG41" s="72" t="str">
        <f ca="1">IF(COUNTA(AC41),OFFSET($C41:AC42,0,0,1,1),"")</f>
        <v/>
      </c>
      <c r="BH41" s="141" t="str">
        <f ca="1">IF(COUNTA(AD41),OFFSET($C41:AD42,0,0,1,1),"")</f>
        <v/>
      </c>
      <c r="BI41" s="141" t="str">
        <f ca="1">IF(COUNTA(AE41),OFFSET($C41:AE42,0,0,1,1),"")</f>
        <v/>
      </c>
    </row>
    <row r="42" spans="1:61" s="15" customFormat="1" ht="18.45" customHeight="1" x14ac:dyDescent="0.15">
      <c r="A42" s="199"/>
      <c r="B42" s="199"/>
      <c r="C42" s="95" t="s">
        <v>3</v>
      </c>
      <c r="D42" s="128"/>
      <c r="E42" s="73"/>
      <c r="F42" s="73"/>
      <c r="G42" s="73"/>
      <c r="H42" s="128"/>
      <c r="I42" s="73"/>
      <c r="J42" s="73"/>
      <c r="K42" s="73"/>
      <c r="L42" s="128"/>
      <c r="M42" s="73"/>
      <c r="N42" s="73"/>
      <c r="O42" s="73"/>
      <c r="P42" s="128"/>
      <c r="Q42" s="73"/>
      <c r="R42" s="73"/>
      <c r="S42" s="73"/>
      <c r="T42" s="128"/>
      <c r="U42" s="73"/>
      <c r="V42" s="73"/>
      <c r="W42" s="73"/>
      <c r="X42" s="128"/>
      <c r="Y42" s="73"/>
      <c r="Z42" s="73"/>
      <c r="AA42" s="73"/>
      <c r="AB42" s="128"/>
      <c r="AC42" s="73"/>
      <c r="AD42" s="73"/>
      <c r="AE42" s="173"/>
      <c r="AF42" s="36"/>
      <c r="AG42" s="18"/>
      <c r="AH42" s="72" t="str">
        <f ca="1">IF(COUNTA(D42),OFFSET($C42:D66,0,0,1,1),"")</f>
        <v/>
      </c>
      <c r="AI42" s="72" t="str">
        <f ca="1">IF(COUNTA(E42),OFFSET($C42:E66,0,0,1,1),"")</f>
        <v/>
      </c>
      <c r="AJ42" s="141" t="str">
        <f ca="1">IF(COUNTA(F42),OFFSET($C42:F66,0,0,1,1),"")</f>
        <v/>
      </c>
      <c r="AK42" s="141" t="str">
        <f ca="1">IF(COUNTA(G42),OFFSET($C42:G66,0,0,1,1),"")</f>
        <v/>
      </c>
      <c r="AL42" s="72" t="str">
        <f ca="1">IF(COUNTA(H42),OFFSET($C42:H66,0,0,1,1),"")</f>
        <v/>
      </c>
      <c r="AM42" s="72" t="str">
        <f ca="1">IF(COUNTA(I42),OFFSET($C42:I66,0,0,1,1),"")</f>
        <v/>
      </c>
      <c r="AN42" s="141" t="str">
        <f ca="1">IF(COUNTA(J42),OFFSET($C42:J66,0,0,1,1),"")</f>
        <v/>
      </c>
      <c r="AO42" s="141" t="str">
        <f ca="1">IF(COUNTA(K42),OFFSET($C42:K66,0,0,1,1),"")</f>
        <v/>
      </c>
      <c r="AP42" s="72" t="str">
        <f ca="1">IF(COUNTA(L42),OFFSET($C42:L66,0,0,1,1),"")</f>
        <v/>
      </c>
      <c r="AQ42" s="72" t="str">
        <f ca="1">IF(COUNTA(M42),OFFSET($C42:M66,0,0,1,1),"")</f>
        <v/>
      </c>
      <c r="AR42" s="141" t="str">
        <f ca="1">IF(COUNTA(N42),OFFSET($C42:N66,0,0,1,1),"")</f>
        <v/>
      </c>
      <c r="AS42" s="141" t="str">
        <f ca="1">IF(COUNTA(O42),OFFSET($C42:O66,0,0,1,1),"")</f>
        <v/>
      </c>
      <c r="AT42" s="72" t="str">
        <f ca="1">IF(COUNTA(P42),OFFSET($C42:P66,0,0,1,1),"")</f>
        <v/>
      </c>
      <c r="AU42" s="72" t="str">
        <f ca="1">IF(COUNTA(Q42),OFFSET($C42:Q66,0,0,1,1),"")</f>
        <v/>
      </c>
      <c r="AV42" s="141" t="str">
        <f ca="1">IF(COUNTA(R42),OFFSET($C42:R66,0,0,1,1),"")</f>
        <v/>
      </c>
      <c r="AW42" s="141" t="str">
        <f ca="1">IF(COUNTA(S42),OFFSET($C42:S66,0,0,1,1),"")</f>
        <v/>
      </c>
      <c r="AX42" s="72" t="str">
        <f ca="1">IF(COUNTA(T42),OFFSET($C42:T66,0,0,1,1),"")</f>
        <v/>
      </c>
      <c r="AY42" s="72" t="str">
        <f ca="1">IF(COUNTA(U42),OFFSET($C42:U66,0,0,1,1),"")</f>
        <v/>
      </c>
      <c r="AZ42" s="141" t="str">
        <f ca="1">IF(COUNTA(V42),OFFSET($C42:V66,0,0,1,1),"")</f>
        <v/>
      </c>
      <c r="BA42" s="141" t="str">
        <f ca="1">IF(COUNTA(W42),OFFSET($C42:W66,0,0,1,1),"")</f>
        <v/>
      </c>
      <c r="BB42" s="72" t="str">
        <f ca="1">IF(COUNTA(X42),OFFSET($C42:X66,0,0,1,1),"")</f>
        <v/>
      </c>
      <c r="BC42" s="72" t="str">
        <f ca="1">IF(COUNTA(Y42),OFFSET($C42:Y66,0,0,1,1),"")</f>
        <v/>
      </c>
      <c r="BD42" s="141" t="str">
        <f ca="1">IF(COUNTA(Z42),OFFSET($C42:Z66,0,0,1,1),"")</f>
        <v/>
      </c>
      <c r="BE42" s="141" t="str">
        <f ca="1">IF(COUNTA(AA42),OFFSET($C42:AA66,0,0,1,1),"")</f>
        <v/>
      </c>
      <c r="BF42" s="72" t="str">
        <f ca="1">IF(COUNTA(AB42),OFFSET($C42:AB66,0,0,1,1),"")</f>
        <v/>
      </c>
      <c r="BG42" s="72" t="str">
        <f ca="1">IF(COUNTA(AC42),OFFSET($C42:AC66,0,0,1,1),"")</f>
        <v/>
      </c>
      <c r="BH42" s="141" t="str">
        <f ca="1">IF(COUNTA(AD42),OFFSET($C42:AD66,0,0,1,1),"")</f>
        <v/>
      </c>
      <c r="BI42" s="141" t="str">
        <f ca="1">IF(COUNTA(AE42),OFFSET($C42:AE66,0,0,1,1),"")</f>
        <v/>
      </c>
    </row>
    <row r="43" spans="1:61" s="15" customFormat="1" ht="18.45" hidden="1" customHeight="1" x14ac:dyDescent="0.15">
      <c r="A43" s="199"/>
      <c r="B43" s="199"/>
      <c r="C43" s="95" t="s">
        <v>3</v>
      </c>
      <c r="D43" s="128"/>
      <c r="E43" s="73"/>
      <c r="F43" s="73"/>
      <c r="G43" s="73"/>
      <c r="H43" s="128"/>
      <c r="I43" s="73"/>
      <c r="J43" s="73"/>
      <c r="K43" s="73"/>
      <c r="L43" s="128"/>
      <c r="M43" s="73"/>
      <c r="N43" s="73"/>
      <c r="O43" s="73"/>
      <c r="P43" s="128"/>
      <c r="Q43" s="73"/>
      <c r="R43" s="73"/>
      <c r="S43" s="73"/>
      <c r="T43" s="128"/>
      <c r="U43" s="73"/>
      <c r="V43" s="73"/>
      <c r="W43" s="73"/>
      <c r="X43" s="128"/>
      <c r="Y43" s="73"/>
      <c r="Z43" s="73"/>
      <c r="AA43" s="73"/>
      <c r="AB43" s="128"/>
      <c r="AC43" s="73"/>
      <c r="AD43" s="73"/>
      <c r="AE43" s="173"/>
      <c r="AF43" s="36"/>
      <c r="AG43" s="18"/>
      <c r="AH43" s="72" t="str">
        <f ca="1">IF(COUNTA(D43),OFFSET($C43:D67,0,0,1,1),"")</f>
        <v/>
      </c>
      <c r="AI43" s="72" t="str">
        <f ca="1">IF(COUNTA(E43),OFFSET($C43:E67,0,0,1,1),"")</f>
        <v/>
      </c>
      <c r="AJ43" s="141" t="str">
        <f ca="1">IF(COUNTA(F43),OFFSET($C43:F67,0,0,1,1),"")</f>
        <v/>
      </c>
      <c r="AK43" s="141" t="str">
        <f ca="1">IF(COUNTA(G43),OFFSET($C43:G67,0,0,1,1),"")</f>
        <v/>
      </c>
      <c r="AL43" s="72" t="str">
        <f ca="1">IF(COUNTA(H43),OFFSET($C43:H67,0,0,1,1),"")</f>
        <v/>
      </c>
      <c r="AM43" s="72" t="str">
        <f ca="1">IF(COUNTA(I43),OFFSET($C43:I67,0,0,1,1),"")</f>
        <v/>
      </c>
      <c r="AN43" s="141" t="str">
        <f ca="1">IF(COUNTA(J43),OFFSET($C43:J67,0,0,1,1),"")</f>
        <v/>
      </c>
      <c r="AO43" s="141" t="str">
        <f ca="1">IF(COUNTA(K43),OFFSET($C43:K67,0,0,1,1),"")</f>
        <v/>
      </c>
      <c r="AP43" s="72" t="str">
        <f ca="1">IF(COUNTA(L43),OFFSET($C43:L67,0,0,1,1),"")</f>
        <v/>
      </c>
      <c r="AQ43" s="72" t="str">
        <f ca="1">IF(COUNTA(M43),OFFSET($C43:M67,0,0,1,1),"")</f>
        <v/>
      </c>
      <c r="AR43" s="141" t="str">
        <f ca="1">IF(COUNTA(N43),OFFSET($C43:N67,0,0,1,1),"")</f>
        <v/>
      </c>
      <c r="AS43" s="141" t="str">
        <f ca="1">IF(COUNTA(O43),OFFSET($C43:O67,0,0,1,1),"")</f>
        <v/>
      </c>
      <c r="AT43" s="72" t="str">
        <f ca="1">IF(COUNTA(P43),OFFSET($C43:P67,0,0,1,1),"")</f>
        <v/>
      </c>
      <c r="AU43" s="72" t="str">
        <f ca="1">IF(COUNTA(Q43),OFFSET($C43:Q67,0,0,1,1),"")</f>
        <v/>
      </c>
      <c r="AV43" s="141" t="str">
        <f ca="1">IF(COUNTA(R43),OFFSET($C43:R67,0,0,1,1),"")</f>
        <v/>
      </c>
      <c r="AW43" s="141" t="str">
        <f ca="1">IF(COUNTA(S43),OFFSET($C43:S67,0,0,1,1),"")</f>
        <v/>
      </c>
      <c r="AX43" s="72" t="str">
        <f ca="1">IF(COUNTA(T43),OFFSET($C43:T67,0,0,1,1),"")</f>
        <v/>
      </c>
      <c r="AY43" s="72" t="str">
        <f ca="1">IF(COUNTA(U43),OFFSET($C43:U67,0,0,1,1),"")</f>
        <v/>
      </c>
      <c r="AZ43" s="141" t="str">
        <f ca="1">IF(COUNTA(V43),OFFSET($C43:V67,0,0,1,1),"")</f>
        <v/>
      </c>
      <c r="BA43" s="141" t="str">
        <f ca="1">IF(COUNTA(W43),OFFSET($C43:W67,0,0,1,1),"")</f>
        <v/>
      </c>
      <c r="BB43" s="72" t="str">
        <f ca="1">IF(COUNTA(X43),OFFSET($C43:X67,0,0,1,1),"")</f>
        <v/>
      </c>
      <c r="BC43" s="72" t="str">
        <f ca="1">IF(COUNTA(Y43),OFFSET($C43:Y67,0,0,1,1),"")</f>
        <v/>
      </c>
      <c r="BD43" s="141" t="str">
        <f ca="1">IF(COUNTA(Z43),OFFSET($C43:Z67,0,0,1,1),"")</f>
        <v/>
      </c>
      <c r="BE43" s="141" t="str">
        <f ca="1">IF(COUNTA(AA43),OFFSET($C43:AA67,0,0,1,1),"")</f>
        <v/>
      </c>
      <c r="BF43" s="72" t="str">
        <f ca="1">IF(COUNTA(AB43),OFFSET($C43:AB67,0,0,1,1),"")</f>
        <v/>
      </c>
      <c r="BG43" s="72" t="str">
        <f ca="1">IF(COUNTA(AC43),OFFSET($C43:AC67,0,0,1,1),"")</f>
        <v/>
      </c>
      <c r="BH43" s="141" t="str">
        <f ca="1">IF(COUNTA(AD43),OFFSET($C43:AD67,0,0,1,1),"")</f>
        <v/>
      </c>
      <c r="BI43" s="141" t="str">
        <f ca="1">IF(COUNTA(AE43),OFFSET($C43:AE67,0,0,1,1),"")</f>
        <v/>
      </c>
    </row>
    <row r="44" spans="1:61" s="15" customFormat="1" ht="18.45" hidden="1" customHeight="1" x14ac:dyDescent="0.15">
      <c r="A44" s="199"/>
      <c r="B44" s="199"/>
      <c r="C44" s="95" t="s">
        <v>3</v>
      </c>
      <c r="D44" s="128"/>
      <c r="E44" s="73"/>
      <c r="F44" s="73"/>
      <c r="G44" s="73"/>
      <c r="H44" s="128"/>
      <c r="I44" s="73"/>
      <c r="J44" s="73"/>
      <c r="K44" s="73"/>
      <c r="L44" s="128"/>
      <c r="M44" s="73"/>
      <c r="N44" s="73"/>
      <c r="O44" s="73"/>
      <c r="P44" s="128"/>
      <c r="Q44" s="73"/>
      <c r="R44" s="73"/>
      <c r="S44" s="73"/>
      <c r="T44" s="128"/>
      <c r="U44" s="73"/>
      <c r="V44" s="73"/>
      <c r="W44" s="73"/>
      <c r="X44" s="128"/>
      <c r="Y44" s="73"/>
      <c r="Z44" s="73"/>
      <c r="AA44" s="73"/>
      <c r="AB44" s="128"/>
      <c r="AC44" s="73"/>
      <c r="AD44" s="73"/>
      <c r="AE44" s="173"/>
      <c r="AF44" s="36"/>
      <c r="AG44" s="18"/>
      <c r="AH44" s="72" t="str">
        <f ca="1">IF(COUNTA(D44),OFFSET($C44:D68,0,0,1,1),"")</f>
        <v/>
      </c>
      <c r="AI44" s="72" t="str">
        <f ca="1">IF(COUNTA(E44),OFFSET($C44:E68,0,0,1,1),"")</f>
        <v/>
      </c>
      <c r="AJ44" s="141" t="str">
        <f ca="1">IF(COUNTA(F44),OFFSET($C44:F68,0,0,1,1),"")</f>
        <v/>
      </c>
      <c r="AK44" s="141" t="str">
        <f ca="1">IF(COUNTA(G44),OFFSET($C44:G68,0,0,1,1),"")</f>
        <v/>
      </c>
      <c r="AL44" s="72" t="str">
        <f ca="1">IF(COUNTA(H44),OFFSET($C44:H68,0,0,1,1),"")</f>
        <v/>
      </c>
      <c r="AM44" s="72" t="str">
        <f ca="1">IF(COUNTA(I44),OFFSET($C44:I68,0,0,1,1),"")</f>
        <v/>
      </c>
      <c r="AN44" s="141" t="str">
        <f ca="1">IF(COUNTA(J44),OFFSET($C44:J68,0,0,1,1),"")</f>
        <v/>
      </c>
      <c r="AO44" s="141" t="str">
        <f ca="1">IF(COUNTA(K44),OFFSET($C44:K68,0,0,1,1),"")</f>
        <v/>
      </c>
      <c r="AP44" s="72" t="str">
        <f ca="1">IF(COUNTA(L44),OFFSET($C44:L68,0,0,1,1),"")</f>
        <v/>
      </c>
      <c r="AQ44" s="72" t="str">
        <f ca="1">IF(COUNTA(M44),OFFSET($C44:M68,0,0,1,1),"")</f>
        <v/>
      </c>
      <c r="AR44" s="141" t="str">
        <f ca="1">IF(COUNTA(N44),OFFSET($C44:N68,0,0,1,1),"")</f>
        <v/>
      </c>
      <c r="AS44" s="141" t="str">
        <f ca="1">IF(COUNTA(O44),OFFSET($C44:O68,0,0,1,1),"")</f>
        <v/>
      </c>
      <c r="AT44" s="72" t="str">
        <f ca="1">IF(COUNTA(P44),OFFSET($C44:P68,0,0,1,1),"")</f>
        <v/>
      </c>
      <c r="AU44" s="72" t="str">
        <f ca="1">IF(COUNTA(Q44),OFFSET($C44:Q68,0,0,1,1),"")</f>
        <v/>
      </c>
      <c r="AV44" s="141" t="str">
        <f ca="1">IF(COUNTA(R44),OFFSET($C44:R68,0,0,1,1),"")</f>
        <v/>
      </c>
      <c r="AW44" s="141" t="str">
        <f ca="1">IF(COUNTA(S44),OFFSET($C44:S68,0,0,1,1),"")</f>
        <v/>
      </c>
      <c r="AX44" s="72" t="str">
        <f ca="1">IF(COUNTA(T44),OFFSET($C44:T68,0,0,1,1),"")</f>
        <v/>
      </c>
      <c r="AY44" s="72" t="str">
        <f ca="1">IF(COUNTA(U44),OFFSET($C44:U68,0,0,1,1),"")</f>
        <v/>
      </c>
      <c r="AZ44" s="141" t="str">
        <f ca="1">IF(COUNTA(V44),OFFSET($C44:V68,0,0,1,1),"")</f>
        <v/>
      </c>
      <c r="BA44" s="141" t="str">
        <f ca="1">IF(COUNTA(W44),OFFSET($C44:W68,0,0,1,1),"")</f>
        <v/>
      </c>
      <c r="BB44" s="72" t="str">
        <f ca="1">IF(COUNTA(X44),OFFSET($C44:X68,0,0,1,1),"")</f>
        <v/>
      </c>
      <c r="BC44" s="72" t="str">
        <f ca="1">IF(COUNTA(Y44),OFFSET($C44:Y68,0,0,1,1),"")</f>
        <v/>
      </c>
      <c r="BD44" s="141" t="str">
        <f ca="1">IF(COUNTA(Z44),OFFSET($C44:Z68,0,0,1,1),"")</f>
        <v/>
      </c>
      <c r="BE44" s="141" t="str">
        <f ca="1">IF(COUNTA(AA44),OFFSET($C44:AA68,0,0,1,1),"")</f>
        <v/>
      </c>
      <c r="BF44" s="72" t="str">
        <f ca="1">IF(COUNTA(AB44),OFFSET($C44:AB68,0,0,1,1),"")</f>
        <v/>
      </c>
      <c r="BG44" s="72" t="str">
        <f ca="1">IF(COUNTA(AC44),OFFSET($C44:AC68,0,0,1,1),"")</f>
        <v/>
      </c>
      <c r="BH44" s="141" t="str">
        <f ca="1">IF(COUNTA(AD44),OFFSET($C44:AD68,0,0,1,1),"")</f>
        <v/>
      </c>
      <c r="BI44" s="141" t="str">
        <f ca="1">IF(COUNTA(AE44),OFFSET($C44:AE68,0,0,1,1),"")</f>
        <v/>
      </c>
    </row>
    <row r="45" spans="1:61" s="15" customFormat="1" ht="18.45" hidden="1" customHeight="1" x14ac:dyDescent="0.15">
      <c r="A45" s="199"/>
      <c r="B45" s="199"/>
      <c r="C45" s="95" t="s">
        <v>3</v>
      </c>
      <c r="D45" s="128"/>
      <c r="E45" s="73"/>
      <c r="F45" s="73"/>
      <c r="G45" s="73"/>
      <c r="H45" s="128"/>
      <c r="I45" s="73"/>
      <c r="J45" s="73"/>
      <c r="K45" s="73"/>
      <c r="L45" s="128"/>
      <c r="M45" s="73"/>
      <c r="N45" s="73"/>
      <c r="O45" s="73"/>
      <c r="P45" s="128"/>
      <c r="Q45" s="73"/>
      <c r="R45" s="73"/>
      <c r="S45" s="73"/>
      <c r="T45" s="128"/>
      <c r="U45" s="73"/>
      <c r="V45" s="73"/>
      <c r="W45" s="73"/>
      <c r="X45" s="128"/>
      <c r="Y45" s="73"/>
      <c r="Z45" s="73"/>
      <c r="AA45" s="73"/>
      <c r="AB45" s="128"/>
      <c r="AC45" s="73"/>
      <c r="AD45" s="73"/>
      <c r="AE45" s="173"/>
      <c r="AF45" s="36"/>
      <c r="AG45" s="18"/>
      <c r="AH45" s="72" t="str">
        <f ca="1">IF(COUNTA(D45),OFFSET($C45:D69,0,0,1,1),"")</f>
        <v/>
      </c>
      <c r="AI45" s="72" t="str">
        <f ca="1">IF(COUNTA(E45),OFFSET($C45:E69,0,0,1,1),"")</f>
        <v/>
      </c>
      <c r="AJ45" s="141" t="str">
        <f ca="1">IF(COUNTA(F45),OFFSET($C45:F69,0,0,1,1),"")</f>
        <v/>
      </c>
      <c r="AK45" s="141" t="str">
        <f ca="1">IF(COUNTA(G45),OFFSET($C45:G69,0,0,1,1),"")</f>
        <v/>
      </c>
      <c r="AL45" s="72" t="str">
        <f ca="1">IF(COUNTA(H45),OFFSET($C45:H69,0,0,1,1),"")</f>
        <v/>
      </c>
      <c r="AM45" s="72" t="str">
        <f ca="1">IF(COUNTA(I45),OFFSET($C45:I69,0,0,1,1),"")</f>
        <v/>
      </c>
      <c r="AN45" s="141" t="str">
        <f ca="1">IF(COUNTA(J45),OFFSET($C45:J69,0,0,1,1),"")</f>
        <v/>
      </c>
      <c r="AO45" s="141" t="str">
        <f ca="1">IF(COUNTA(K45),OFFSET($C45:K69,0,0,1,1),"")</f>
        <v/>
      </c>
      <c r="AP45" s="72" t="str">
        <f ca="1">IF(COUNTA(L45),OFFSET($C45:L69,0,0,1,1),"")</f>
        <v/>
      </c>
      <c r="AQ45" s="72" t="str">
        <f ca="1">IF(COUNTA(M45),OFFSET($C45:M69,0,0,1,1),"")</f>
        <v/>
      </c>
      <c r="AR45" s="141" t="str">
        <f ca="1">IF(COUNTA(N45),OFFSET($C45:N69,0,0,1,1),"")</f>
        <v/>
      </c>
      <c r="AS45" s="141" t="str">
        <f ca="1">IF(COUNTA(O45),OFFSET($C45:O69,0,0,1,1),"")</f>
        <v/>
      </c>
      <c r="AT45" s="72" t="str">
        <f ca="1">IF(COUNTA(P45),OFFSET($C45:P69,0,0,1,1),"")</f>
        <v/>
      </c>
      <c r="AU45" s="72" t="str">
        <f ca="1">IF(COUNTA(Q45),OFFSET($C45:Q69,0,0,1,1),"")</f>
        <v/>
      </c>
      <c r="AV45" s="141" t="str">
        <f ca="1">IF(COUNTA(R45),OFFSET($C45:R69,0,0,1,1),"")</f>
        <v/>
      </c>
      <c r="AW45" s="141" t="str">
        <f ca="1">IF(COUNTA(S45),OFFSET($C45:S69,0,0,1,1),"")</f>
        <v/>
      </c>
      <c r="AX45" s="72" t="str">
        <f ca="1">IF(COUNTA(T45),OFFSET($C45:T69,0,0,1,1),"")</f>
        <v/>
      </c>
      <c r="AY45" s="72" t="str">
        <f ca="1">IF(COUNTA(U45),OFFSET($C45:U69,0,0,1,1),"")</f>
        <v/>
      </c>
      <c r="AZ45" s="141" t="str">
        <f ca="1">IF(COUNTA(V45),OFFSET($C45:V69,0,0,1,1),"")</f>
        <v/>
      </c>
      <c r="BA45" s="141" t="str">
        <f ca="1">IF(COUNTA(W45),OFFSET($C45:W69,0,0,1,1),"")</f>
        <v/>
      </c>
      <c r="BB45" s="72" t="str">
        <f ca="1">IF(COUNTA(X45),OFFSET($C45:X69,0,0,1,1),"")</f>
        <v/>
      </c>
      <c r="BC45" s="72" t="str">
        <f ca="1">IF(COUNTA(Y45),OFFSET($C45:Y69,0,0,1,1),"")</f>
        <v/>
      </c>
      <c r="BD45" s="141" t="str">
        <f ca="1">IF(COUNTA(Z45),OFFSET($C45:Z69,0,0,1,1),"")</f>
        <v/>
      </c>
      <c r="BE45" s="141" t="str">
        <f ca="1">IF(COUNTA(AA45),OFFSET($C45:AA69,0,0,1,1),"")</f>
        <v/>
      </c>
      <c r="BF45" s="72" t="str">
        <f ca="1">IF(COUNTA(AB45),OFFSET($C45:AB69,0,0,1,1),"")</f>
        <v/>
      </c>
      <c r="BG45" s="72" t="str">
        <f ca="1">IF(COUNTA(AC45),OFFSET($C45:AC69,0,0,1,1),"")</f>
        <v/>
      </c>
      <c r="BH45" s="141" t="str">
        <f ca="1">IF(COUNTA(AD45),OFFSET($C45:AD69,0,0,1,1),"")</f>
        <v/>
      </c>
      <c r="BI45" s="141" t="str">
        <f ca="1">IF(COUNTA(AE45),OFFSET($C45:AE69,0,0,1,1),"")</f>
        <v/>
      </c>
    </row>
    <row r="46" spans="1:61" s="15" customFormat="1" ht="18.45" hidden="1" customHeight="1" x14ac:dyDescent="0.15">
      <c r="A46" s="199"/>
      <c r="B46" s="199"/>
      <c r="C46" s="95" t="s">
        <v>3</v>
      </c>
      <c r="D46" s="128"/>
      <c r="E46" s="73"/>
      <c r="F46" s="73"/>
      <c r="G46" s="73"/>
      <c r="H46" s="128"/>
      <c r="I46" s="73"/>
      <c r="J46" s="73"/>
      <c r="K46" s="73"/>
      <c r="L46" s="128"/>
      <c r="M46" s="73"/>
      <c r="N46" s="73"/>
      <c r="O46" s="73"/>
      <c r="P46" s="128"/>
      <c r="Q46" s="73"/>
      <c r="R46" s="73"/>
      <c r="S46" s="73"/>
      <c r="T46" s="128"/>
      <c r="U46" s="73"/>
      <c r="V46" s="73"/>
      <c r="W46" s="73"/>
      <c r="X46" s="128"/>
      <c r="Y46" s="73"/>
      <c r="Z46" s="73"/>
      <c r="AA46" s="73"/>
      <c r="AB46" s="128"/>
      <c r="AC46" s="73"/>
      <c r="AD46" s="73"/>
      <c r="AE46" s="173"/>
      <c r="AF46" s="36"/>
      <c r="AG46" s="18"/>
      <c r="AH46" s="72" t="str">
        <f ca="1">IF(COUNTA(D46),OFFSET($C46:D70,0,0,1,1),"")</f>
        <v/>
      </c>
      <c r="AI46" s="72" t="str">
        <f ca="1">IF(COUNTA(E46),OFFSET($C46:E70,0,0,1,1),"")</f>
        <v/>
      </c>
      <c r="AJ46" s="141" t="str">
        <f ca="1">IF(COUNTA(F46),OFFSET($C46:F70,0,0,1,1),"")</f>
        <v/>
      </c>
      <c r="AK46" s="141" t="str">
        <f ca="1">IF(COUNTA(G46),OFFSET($C46:G70,0,0,1,1),"")</f>
        <v/>
      </c>
      <c r="AL46" s="72" t="str">
        <f ca="1">IF(COUNTA(H46),OFFSET($C46:H70,0,0,1,1),"")</f>
        <v/>
      </c>
      <c r="AM46" s="72" t="str">
        <f ca="1">IF(COUNTA(I46),OFFSET($C46:I70,0,0,1,1),"")</f>
        <v/>
      </c>
      <c r="AN46" s="141" t="str">
        <f ca="1">IF(COUNTA(J46),OFFSET($C46:J70,0,0,1,1),"")</f>
        <v/>
      </c>
      <c r="AO46" s="141" t="str">
        <f ca="1">IF(COUNTA(K46),OFFSET($C46:K70,0,0,1,1),"")</f>
        <v/>
      </c>
      <c r="AP46" s="72" t="str">
        <f ca="1">IF(COUNTA(L46),OFFSET($C46:L70,0,0,1,1),"")</f>
        <v/>
      </c>
      <c r="AQ46" s="72" t="str">
        <f ca="1">IF(COUNTA(M46),OFFSET($C46:M70,0,0,1,1),"")</f>
        <v/>
      </c>
      <c r="AR46" s="141" t="str">
        <f ca="1">IF(COUNTA(N46),OFFSET($C46:N70,0,0,1,1),"")</f>
        <v/>
      </c>
      <c r="AS46" s="141" t="str">
        <f ca="1">IF(COUNTA(O46),OFFSET($C46:O70,0,0,1,1),"")</f>
        <v/>
      </c>
      <c r="AT46" s="72" t="str">
        <f ca="1">IF(COUNTA(P46),OFFSET($C46:P70,0,0,1,1),"")</f>
        <v/>
      </c>
      <c r="AU46" s="72" t="str">
        <f ca="1">IF(COUNTA(Q46),OFFSET($C46:Q70,0,0,1,1),"")</f>
        <v/>
      </c>
      <c r="AV46" s="141" t="str">
        <f ca="1">IF(COUNTA(R46),OFFSET($C46:R70,0,0,1,1),"")</f>
        <v/>
      </c>
      <c r="AW46" s="141" t="str">
        <f ca="1">IF(COUNTA(S46),OFFSET($C46:S70,0,0,1,1),"")</f>
        <v/>
      </c>
      <c r="AX46" s="72" t="str">
        <f ca="1">IF(COUNTA(T46),OFFSET($C46:T70,0,0,1,1),"")</f>
        <v/>
      </c>
      <c r="AY46" s="72" t="str">
        <f ca="1">IF(COUNTA(U46),OFFSET($C46:U70,0,0,1,1),"")</f>
        <v/>
      </c>
      <c r="AZ46" s="141" t="str">
        <f ca="1">IF(COUNTA(V46),OFFSET($C46:V70,0,0,1,1),"")</f>
        <v/>
      </c>
      <c r="BA46" s="141" t="str">
        <f ca="1">IF(COUNTA(W46),OFFSET($C46:W70,0,0,1,1),"")</f>
        <v/>
      </c>
      <c r="BB46" s="72" t="str">
        <f ca="1">IF(COUNTA(X46),OFFSET($C46:X70,0,0,1,1),"")</f>
        <v/>
      </c>
      <c r="BC46" s="72" t="str">
        <f ca="1">IF(COUNTA(Y46),OFFSET($C46:Y70,0,0,1,1),"")</f>
        <v/>
      </c>
      <c r="BD46" s="141" t="str">
        <f ca="1">IF(COUNTA(Z46),OFFSET($C46:Z70,0,0,1,1),"")</f>
        <v/>
      </c>
      <c r="BE46" s="141" t="str">
        <f ca="1">IF(COUNTA(AA46),OFFSET($C46:AA70,0,0,1,1),"")</f>
        <v/>
      </c>
      <c r="BF46" s="72" t="str">
        <f ca="1">IF(COUNTA(AB46),OFFSET($C46:AB70,0,0,1,1),"")</f>
        <v/>
      </c>
      <c r="BG46" s="72" t="str">
        <f ca="1">IF(COUNTA(AC46),OFFSET($C46:AC70,0,0,1,1),"")</f>
        <v/>
      </c>
      <c r="BH46" s="141" t="str">
        <f ca="1">IF(COUNTA(AD46),OFFSET($C46:AD70,0,0,1,1),"")</f>
        <v/>
      </c>
      <c r="BI46" s="141" t="str">
        <f ca="1">IF(COUNTA(AE46),OFFSET($C46:AE70,0,0,1,1),"")</f>
        <v/>
      </c>
    </row>
    <row r="47" spans="1:61" s="15" customFormat="1" ht="18.45" hidden="1" customHeight="1" x14ac:dyDescent="0.15">
      <c r="A47" s="199"/>
      <c r="B47" s="199"/>
      <c r="C47" s="95" t="s">
        <v>3</v>
      </c>
      <c r="D47" s="128"/>
      <c r="E47" s="73"/>
      <c r="F47" s="73"/>
      <c r="G47" s="73"/>
      <c r="H47" s="128"/>
      <c r="I47" s="73"/>
      <c r="J47" s="73"/>
      <c r="K47" s="73"/>
      <c r="L47" s="128"/>
      <c r="M47" s="73"/>
      <c r="N47" s="73"/>
      <c r="O47" s="73"/>
      <c r="P47" s="128"/>
      <c r="Q47" s="73"/>
      <c r="R47" s="73"/>
      <c r="S47" s="73"/>
      <c r="T47" s="128"/>
      <c r="U47" s="73"/>
      <c r="V47" s="73"/>
      <c r="W47" s="73"/>
      <c r="X47" s="128"/>
      <c r="Y47" s="73"/>
      <c r="Z47" s="73"/>
      <c r="AA47" s="73"/>
      <c r="AB47" s="128"/>
      <c r="AC47" s="73"/>
      <c r="AD47" s="73"/>
      <c r="AE47" s="173"/>
      <c r="AF47" s="36"/>
      <c r="AG47" s="18"/>
      <c r="AH47" s="72" t="str">
        <f ca="1">IF(COUNTA(D47),OFFSET($C47:D71,0,0,1,1),"")</f>
        <v/>
      </c>
      <c r="AI47" s="72" t="str">
        <f ca="1">IF(COUNTA(E47),OFFSET($C47:E71,0,0,1,1),"")</f>
        <v/>
      </c>
      <c r="AJ47" s="141" t="str">
        <f ca="1">IF(COUNTA(F47),OFFSET($C47:F71,0,0,1,1),"")</f>
        <v/>
      </c>
      <c r="AK47" s="141" t="str">
        <f ca="1">IF(COUNTA(G47),OFFSET($C47:G71,0,0,1,1),"")</f>
        <v/>
      </c>
      <c r="AL47" s="72" t="str">
        <f ca="1">IF(COUNTA(H47),OFFSET($C47:H71,0,0,1,1),"")</f>
        <v/>
      </c>
      <c r="AM47" s="72" t="str">
        <f ca="1">IF(COUNTA(I47),OFFSET($C47:I71,0,0,1,1),"")</f>
        <v/>
      </c>
      <c r="AN47" s="141" t="str">
        <f ca="1">IF(COUNTA(J47),OFFSET($C47:J71,0,0,1,1),"")</f>
        <v/>
      </c>
      <c r="AO47" s="141" t="str">
        <f ca="1">IF(COUNTA(K47),OFFSET($C47:K71,0,0,1,1),"")</f>
        <v/>
      </c>
      <c r="AP47" s="72" t="str">
        <f ca="1">IF(COUNTA(L47),OFFSET($C47:L71,0,0,1,1),"")</f>
        <v/>
      </c>
      <c r="AQ47" s="72" t="str">
        <f ca="1">IF(COUNTA(M47),OFFSET($C47:M71,0,0,1,1),"")</f>
        <v/>
      </c>
      <c r="AR47" s="141" t="str">
        <f ca="1">IF(COUNTA(N47),OFFSET($C47:N71,0,0,1,1),"")</f>
        <v/>
      </c>
      <c r="AS47" s="141" t="str">
        <f ca="1">IF(COUNTA(O47),OFFSET($C47:O71,0,0,1,1),"")</f>
        <v/>
      </c>
      <c r="AT47" s="72" t="str">
        <f ca="1">IF(COUNTA(P47),OFFSET($C47:P71,0,0,1,1),"")</f>
        <v/>
      </c>
      <c r="AU47" s="72" t="str">
        <f ca="1">IF(COUNTA(Q47),OFFSET($C47:Q71,0,0,1,1),"")</f>
        <v/>
      </c>
      <c r="AV47" s="141" t="str">
        <f ca="1">IF(COUNTA(R47),OFFSET($C47:R71,0,0,1,1),"")</f>
        <v/>
      </c>
      <c r="AW47" s="141" t="str">
        <f ca="1">IF(COUNTA(S47),OFFSET($C47:S71,0,0,1,1),"")</f>
        <v/>
      </c>
      <c r="AX47" s="72" t="str">
        <f ca="1">IF(COUNTA(T47),OFFSET($C47:T71,0,0,1,1),"")</f>
        <v/>
      </c>
      <c r="AY47" s="72" t="str">
        <f ca="1">IF(COUNTA(U47),OFFSET($C47:U71,0,0,1,1),"")</f>
        <v/>
      </c>
      <c r="AZ47" s="141" t="str">
        <f ca="1">IF(COUNTA(V47),OFFSET($C47:V71,0,0,1,1),"")</f>
        <v/>
      </c>
      <c r="BA47" s="141" t="str">
        <f ca="1">IF(COUNTA(W47),OFFSET($C47:W71,0,0,1,1),"")</f>
        <v/>
      </c>
      <c r="BB47" s="72" t="str">
        <f ca="1">IF(COUNTA(X47),OFFSET($C47:X71,0,0,1,1),"")</f>
        <v/>
      </c>
      <c r="BC47" s="72" t="str">
        <f ca="1">IF(COUNTA(Y47),OFFSET($C47:Y71,0,0,1,1),"")</f>
        <v/>
      </c>
      <c r="BD47" s="141" t="str">
        <f ca="1">IF(COUNTA(Z47),OFFSET($C47:Z71,0,0,1,1),"")</f>
        <v/>
      </c>
      <c r="BE47" s="141" t="str">
        <f ca="1">IF(COUNTA(AA47),OFFSET($C47:AA71,0,0,1,1),"")</f>
        <v/>
      </c>
      <c r="BF47" s="72" t="str">
        <f ca="1">IF(COUNTA(AB47),OFFSET($C47:AB71,0,0,1,1),"")</f>
        <v/>
      </c>
      <c r="BG47" s="72" t="str">
        <f ca="1">IF(COUNTA(AC47),OFFSET($C47:AC71,0,0,1,1),"")</f>
        <v/>
      </c>
      <c r="BH47" s="141" t="str">
        <f ca="1">IF(COUNTA(AD47),OFFSET($C47:AD71,0,0,1,1),"")</f>
        <v/>
      </c>
      <c r="BI47" s="141" t="str">
        <f ca="1">IF(COUNTA(AE47),OFFSET($C47:AE71,0,0,1,1),"")</f>
        <v/>
      </c>
    </row>
    <row r="48" spans="1:61" s="15" customFormat="1" ht="18.45" hidden="1" customHeight="1" x14ac:dyDescent="0.15">
      <c r="A48" s="199"/>
      <c r="B48" s="199"/>
      <c r="C48" s="95" t="s">
        <v>3</v>
      </c>
      <c r="D48" s="128"/>
      <c r="E48" s="73"/>
      <c r="F48" s="73"/>
      <c r="G48" s="73"/>
      <c r="H48" s="128"/>
      <c r="I48" s="73"/>
      <c r="J48" s="73"/>
      <c r="K48" s="73"/>
      <c r="L48" s="128"/>
      <c r="M48" s="73"/>
      <c r="N48" s="73"/>
      <c r="O48" s="73"/>
      <c r="P48" s="128"/>
      <c r="Q48" s="73"/>
      <c r="R48" s="73"/>
      <c r="S48" s="73"/>
      <c r="T48" s="128"/>
      <c r="U48" s="73"/>
      <c r="V48" s="73"/>
      <c r="W48" s="73"/>
      <c r="X48" s="128"/>
      <c r="Y48" s="73"/>
      <c r="Z48" s="73"/>
      <c r="AA48" s="73"/>
      <c r="AB48" s="128"/>
      <c r="AC48" s="73"/>
      <c r="AD48" s="73"/>
      <c r="AE48" s="173"/>
      <c r="AF48" s="36"/>
      <c r="AG48" s="18"/>
      <c r="AH48" s="72" t="str">
        <f ca="1">IF(COUNTA(D48),OFFSET($C48:D72,0,0,1,1),"")</f>
        <v/>
      </c>
      <c r="AI48" s="72" t="str">
        <f ca="1">IF(COUNTA(E48),OFFSET($C48:E72,0,0,1,1),"")</f>
        <v/>
      </c>
      <c r="AJ48" s="141" t="str">
        <f ca="1">IF(COUNTA(F48),OFFSET($C48:F72,0,0,1,1),"")</f>
        <v/>
      </c>
      <c r="AK48" s="141" t="str">
        <f ca="1">IF(COUNTA(G48),OFFSET($C48:G72,0,0,1,1),"")</f>
        <v/>
      </c>
      <c r="AL48" s="72" t="str">
        <f ca="1">IF(COUNTA(H48),OFFSET($C48:H72,0,0,1,1),"")</f>
        <v/>
      </c>
      <c r="AM48" s="72" t="str">
        <f ca="1">IF(COUNTA(I48),OFFSET($C48:I72,0,0,1,1),"")</f>
        <v/>
      </c>
      <c r="AN48" s="141" t="str">
        <f ca="1">IF(COUNTA(J48),OFFSET($C48:J72,0,0,1,1),"")</f>
        <v/>
      </c>
      <c r="AO48" s="141" t="str">
        <f ca="1">IF(COUNTA(K48),OFFSET($C48:K72,0,0,1,1),"")</f>
        <v/>
      </c>
      <c r="AP48" s="72" t="str">
        <f ca="1">IF(COUNTA(L48),OFFSET($C48:L72,0,0,1,1),"")</f>
        <v/>
      </c>
      <c r="AQ48" s="72" t="str">
        <f ca="1">IF(COUNTA(M48),OFFSET($C48:M72,0,0,1,1),"")</f>
        <v/>
      </c>
      <c r="AR48" s="141" t="str">
        <f ca="1">IF(COUNTA(N48),OFFSET($C48:N72,0,0,1,1),"")</f>
        <v/>
      </c>
      <c r="AS48" s="141" t="str">
        <f ca="1">IF(COUNTA(O48),OFFSET($C48:O72,0,0,1,1),"")</f>
        <v/>
      </c>
      <c r="AT48" s="72" t="str">
        <f ca="1">IF(COUNTA(P48),OFFSET($C48:P72,0,0,1,1),"")</f>
        <v/>
      </c>
      <c r="AU48" s="72" t="str">
        <f ca="1">IF(COUNTA(Q48),OFFSET($C48:Q72,0,0,1,1),"")</f>
        <v/>
      </c>
      <c r="AV48" s="141" t="str">
        <f ca="1">IF(COUNTA(R48),OFFSET($C48:R72,0,0,1,1),"")</f>
        <v/>
      </c>
      <c r="AW48" s="141" t="str">
        <f ca="1">IF(COUNTA(S48),OFFSET($C48:S72,0,0,1,1),"")</f>
        <v/>
      </c>
      <c r="AX48" s="72" t="str">
        <f ca="1">IF(COUNTA(T48),OFFSET($C48:T72,0,0,1,1),"")</f>
        <v/>
      </c>
      <c r="AY48" s="72" t="str">
        <f ca="1">IF(COUNTA(U48),OFFSET($C48:U72,0,0,1,1),"")</f>
        <v/>
      </c>
      <c r="AZ48" s="141" t="str">
        <f ca="1">IF(COUNTA(V48),OFFSET($C48:V72,0,0,1,1),"")</f>
        <v/>
      </c>
      <c r="BA48" s="141" t="str">
        <f ca="1">IF(COUNTA(W48),OFFSET($C48:W72,0,0,1,1),"")</f>
        <v/>
      </c>
      <c r="BB48" s="72" t="str">
        <f ca="1">IF(COUNTA(X48),OFFSET($C48:X72,0,0,1,1),"")</f>
        <v/>
      </c>
      <c r="BC48" s="72" t="str">
        <f ca="1">IF(COUNTA(Y48),OFFSET($C48:Y72,0,0,1,1),"")</f>
        <v/>
      </c>
      <c r="BD48" s="141" t="str">
        <f ca="1">IF(COUNTA(Z48),OFFSET($C48:Z72,0,0,1,1),"")</f>
        <v/>
      </c>
      <c r="BE48" s="141" t="str">
        <f ca="1">IF(COUNTA(AA48),OFFSET($C48:AA72,0,0,1,1),"")</f>
        <v/>
      </c>
      <c r="BF48" s="72" t="str">
        <f ca="1">IF(COUNTA(AB48),OFFSET($C48:AB72,0,0,1,1),"")</f>
        <v/>
      </c>
      <c r="BG48" s="72" t="str">
        <f ca="1">IF(COUNTA(AC48),OFFSET($C48:AC72,0,0,1,1),"")</f>
        <v/>
      </c>
      <c r="BH48" s="141" t="str">
        <f ca="1">IF(COUNTA(AD48),OFFSET($C48:AD72,0,0,1,1),"")</f>
        <v/>
      </c>
      <c r="BI48" s="141" t="str">
        <f ca="1">IF(COUNTA(AE48),OFFSET($C48:AE72,0,0,1,1),"")</f>
        <v/>
      </c>
    </row>
    <row r="49" spans="1:61" s="15" customFormat="1" ht="18.45" hidden="1" customHeight="1" x14ac:dyDescent="0.15">
      <c r="A49" s="199"/>
      <c r="B49" s="199"/>
      <c r="C49" s="95" t="s">
        <v>3</v>
      </c>
      <c r="D49" s="128"/>
      <c r="E49" s="73"/>
      <c r="F49" s="73"/>
      <c r="G49" s="73"/>
      <c r="H49" s="128"/>
      <c r="I49" s="73"/>
      <c r="J49" s="73"/>
      <c r="K49" s="73"/>
      <c r="L49" s="128"/>
      <c r="M49" s="73"/>
      <c r="N49" s="73"/>
      <c r="O49" s="73"/>
      <c r="P49" s="128"/>
      <c r="Q49" s="73"/>
      <c r="R49" s="73"/>
      <c r="S49" s="73"/>
      <c r="T49" s="128"/>
      <c r="U49" s="73"/>
      <c r="V49" s="73"/>
      <c r="W49" s="73"/>
      <c r="X49" s="128"/>
      <c r="Y49" s="73"/>
      <c r="Z49" s="73"/>
      <c r="AA49" s="73"/>
      <c r="AB49" s="128"/>
      <c r="AC49" s="73"/>
      <c r="AD49" s="73"/>
      <c r="AE49" s="173"/>
      <c r="AF49" s="36"/>
      <c r="AG49" s="18"/>
      <c r="AH49" s="72" t="str">
        <f ca="1">IF(COUNTA(D49),OFFSET($C49:D73,0,0,1,1),"")</f>
        <v/>
      </c>
      <c r="AI49" s="72" t="str">
        <f ca="1">IF(COUNTA(E49),OFFSET($C49:E73,0,0,1,1),"")</f>
        <v/>
      </c>
      <c r="AJ49" s="141" t="str">
        <f ca="1">IF(COUNTA(F49),OFFSET($C49:F73,0,0,1,1),"")</f>
        <v/>
      </c>
      <c r="AK49" s="141" t="str">
        <f ca="1">IF(COUNTA(G49),OFFSET($C49:G73,0,0,1,1),"")</f>
        <v/>
      </c>
      <c r="AL49" s="72" t="str">
        <f ca="1">IF(COUNTA(H49),OFFSET($C49:H73,0,0,1,1),"")</f>
        <v/>
      </c>
      <c r="AM49" s="72" t="str">
        <f ca="1">IF(COUNTA(I49),OFFSET($C49:I73,0,0,1,1),"")</f>
        <v/>
      </c>
      <c r="AN49" s="141" t="str">
        <f ca="1">IF(COUNTA(J49),OFFSET($C49:J73,0,0,1,1),"")</f>
        <v/>
      </c>
      <c r="AO49" s="141" t="str">
        <f ca="1">IF(COUNTA(K49),OFFSET($C49:K73,0,0,1,1),"")</f>
        <v/>
      </c>
      <c r="AP49" s="72" t="str">
        <f ca="1">IF(COUNTA(L49),OFFSET($C49:L73,0,0,1,1),"")</f>
        <v/>
      </c>
      <c r="AQ49" s="72" t="str">
        <f ca="1">IF(COUNTA(M49),OFFSET($C49:M73,0,0,1,1),"")</f>
        <v/>
      </c>
      <c r="AR49" s="141" t="str">
        <f ca="1">IF(COUNTA(N49),OFFSET($C49:N73,0,0,1,1),"")</f>
        <v/>
      </c>
      <c r="AS49" s="141" t="str">
        <f ca="1">IF(COUNTA(O49),OFFSET($C49:O73,0,0,1,1),"")</f>
        <v/>
      </c>
      <c r="AT49" s="72" t="str">
        <f ca="1">IF(COUNTA(P49),OFFSET($C49:P73,0,0,1,1),"")</f>
        <v/>
      </c>
      <c r="AU49" s="72" t="str">
        <f ca="1">IF(COUNTA(Q49),OFFSET($C49:Q73,0,0,1,1),"")</f>
        <v/>
      </c>
      <c r="AV49" s="141" t="str">
        <f ca="1">IF(COUNTA(R49),OFFSET($C49:R73,0,0,1,1),"")</f>
        <v/>
      </c>
      <c r="AW49" s="141" t="str">
        <f ca="1">IF(COUNTA(S49),OFFSET($C49:S73,0,0,1,1),"")</f>
        <v/>
      </c>
      <c r="AX49" s="72" t="str">
        <f ca="1">IF(COUNTA(T49),OFFSET($C49:T73,0,0,1,1),"")</f>
        <v/>
      </c>
      <c r="AY49" s="72" t="str">
        <f ca="1">IF(COUNTA(U49),OFFSET($C49:U73,0,0,1,1),"")</f>
        <v/>
      </c>
      <c r="AZ49" s="141" t="str">
        <f ca="1">IF(COUNTA(V49),OFFSET($C49:V73,0,0,1,1),"")</f>
        <v/>
      </c>
      <c r="BA49" s="141" t="str">
        <f ca="1">IF(COUNTA(W49),OFFSET($C49:W73,0,0,1,1),"")</f>
        <v/>
      </c>
      <c r="BB49" s="72" t="str">
        <f ca="1">IF(COUNTA(X49),OFFSET($C49:X73,0,0,1,1),"")</f>
        <v/>
      </c>
      <c r="BC49" s="72" t="str">
        <f ca="1">IF(COUNTA(Y49),OFFSET($C49:Y73,0,0,1,1),"")</f>
        <v/>
      </c>
      <c r="BD49" s="141" t="str">
        <f ca="1">IF(COUNTA(Z49),OFFSET($C49:Z73,0,0,1,1),"")</f>
        <v/>
      </c>
      <c r="BE49" s="141" t="str">
        <f ca="1">IF(COUNTA(AA49),OFFSET($C49:AA73,0,0,1,1),"")</f>
        <v/>
      </c>
      <c r="BF49" s="72" t="str">
        <f ca="1">IF(COUNTA(AB49),OFFSET($C49:AB73,0,0,1,1),"")</f>
        <v/>
      </c>
      <c r="BG49" s="72" t="str">
        <f ca="1">IF(COUNTA(AC49),OFFSET($C49:AC73,0,0,1,1),"")</f>
        <v/>
      </c>
      <c r="BH49" s="141" t="str">
        <f ca="1">IF(COUNTA(AD49),OFFSET($C49:AD73,0,0,1,1),"")</f>
        <v/>
      </c>
      <c r="BI49" s="141" t="str">
        <f ca="1">IF(COUNTA(AE49),OFFSET($C49:AE73,0,0,1,1),"")</f>
        <v/>
      </c>
    </row>
    <row r="50" spans="1:61" s="15" customFormat="1" ht="18.45" hidden="1" customHeight="1" x14ac:dyDescent="0.15">
      <c r="A50" s="199"/>
      <c r="B50" s="199"/>
      <c r="C50" s="95" t="s">
        <v>3</v>
      </c>
      <c r="D50" s="128"/>
      <c r="E50" s="73"/>
      <c r="F50" s="73"/>
      <c r="G50" s="73"/>
      <c r="H50" s="128"/>
      <c r="I50" s="73"/>
      <c r="J50" s="73"/>
      <c r="K50" s="73"/>
      <c r="L50" s="128"/>
      <c r="M50" s="73"/>
      <c r="N50" s="73"/>
      <c r="O50" s="73"/>
      <c r="P50" s="128"/>
      <c r="Q50" s="73"/>
      <c r="R50" s="73"/>
      <c r="S50" s="73"/>
      <c r="T50" s="128"/>
      <c r="U50" s="73"/>
      <c r="V50" s="73"/>
      <c r="W50" s="73"/>
      <c r="X50" s="128"/>
      <c r="Y50" s="73"/>
      <c r="Z50" s="73"/>
      <c r="AA50" s="73"/>
      <c r="AB50" s="128"/>
      <c r="AC50" s="73"/>
      <c r="AD50" s="73"/>
      <c r="AE50" s="173"/>
      <c r="AF50" s="36"/>
      <c r="AG50" s="18"/>
      <c r="AH50" s="72" t="str">
        <f ca="1">IF(COUNTA(D50),OFFSET($C50:D74,0,0,1,1),"")</f>
        <v/>
      </c>
      <c r="AI50" s="72" t="str">
        <f ca="1">IF(COUNTA(E50),OFFSET($C50:E74,0,0,1,1),"")</f>
        <v/>
      </c>
      <c r="AJ50" s="141" t="str">
        <f ca="1">IF(COUNTA(F50),OFFSET($C50:F74,0,0,1,1),"")</f>
        <v/>
      </c>
      <c r="AK50" s="141" t="str">
        <f ca="1">IF(COUNTA(G50),OFFSET($C50:G74,0,0,1,1),"")</f>
        <v/>
      </c>
      <c r="AL50" s="72" t="str">
        <f ca="1">IF(COUNTA(H50),OFFSET($C50:H74,0,0,1,1),"")</f>
        <v/>
      </c>
      <c r="AM50" s="72" t="str">
        <f ca="1">IF(COUNTA(I50),OFFSET($C50:I74,0,0,1,1),"")</f>
        <v/>
      </c>
      <c r="AN50" s="141" t="str">
        <f ca="1">IF(COUNTA(J50),OFFSET($C50:J74,0,0,1,1),"")</f>
        <v/>
      </c>
      <c r="AO50" s="141" t="str">
        <f ca="1">IF(COUNTA(K50),OFFSET($C50:K74,0,0,1,1),"")</f>
        <v/>
      </c>
      <c r="AP50" s="72" t="str">
        <f ca="1">IF(COUNTA(L50),OFFSET($C50:L74,0,0,1,1),"")</f>
        <v/>
      </c>
      <c r="AQ50" s="72" t="str">
        <f ca="1">IF(COUNTA(M50),OFFSET($C50:M74,0,0,1,1),"")</f>
        <v/>
      </c>
      <c r="AR50" s="141" t="str">
        <f ca="1">IF(COUNTA(N50),OFFSET($C50:N74,0,0,1,1),"")</f>
        <v/>
      </c>
      <c r="AS50" s="141" t="str">
        <f ca="1">IF(COUNTA(O50),OFFSET($C50:O74,0,0,1,1),"")</f>
        <v/>
      </c>
      <c r="AT50" s="72" t="str">
        <f ca="1">IF(COUNTA(P50),OFFSET($C50:P74,0,0,1,1),"")</f>
        <v/>
      </c>
      <c r="AU50" s="72" t="str">
        <f ca="1">IF(COUNTA(Q50),OFFSET($C50:Q74,0,0,1,1),"")</f>
        <v/>
      </c>
      <c r="AV50" s="141" t="str">
        <f ca="1">IF(COUNTA(R50),OFFSET($C50:R74,0,0,1,1),"")</f>
        <v/>
      </c>
      <c r="AW50" s="141" t="str">
        <f ca="1">IF(COUNTA(S50),OFFSET($C50:S74,0,0,1,1),"")</f>
        <v/>
      </c>
      <c r="AX50" s="72" t="str">
        <f ca="1">IF(COUNTA(T50),OFFSET($C50:T74,0,0,1,1),"")</f>
        <v/>
      </c>
      <c r="AY50" s="72" t="str">
        <f ca="1">IF(COUNTA(U50),OFFSET($C50:U74,0,0,1,1),"")</f>
        <v/>
      </c>
      <c r="AZ50" s="141" t="str">
        <f ca="1">IF(COUNTA(V50),OFFSET($C50:V74,0,0,1,1),"")</f>
        <v/>
      </c>
      <c r="BA50" s="141" t="str">
        <f ca="1">IF(COUNTA(W50),OFFSET($C50:W74,0,0,1,1),"")</f>
        <v/>
      </c>
      <c r="BB50" s="72" t="str">
        <f ca="1">IF(COUNTA(X50),OFFSET($C50:X74,0,0,1,1),"")</f>
        <v/>
      </c>
      <c r="BC50" s="72" t="str">
        <f ca="1">IF(COUNTA(Y50),OFFSET($C50:Y74,0,0,1,1),"")</f>
        <v/>
      </c>
      <c r="BD50" s="141" t="str">
        <f ca="1">IF(COUNTA(Z50),OFFSET($C50:Z74,0,0,1,1),"")</f>
        <v/>
      </c>
      <c r="BE50" s="141" t="str">
        <f ca="1">IF(COUNTA(AA50),OFFSET($C50:AA74,0,0,1,1),"")</f>
        <v/>
      </c>
      <c r="BF50" s="72" t="str">
        <f ca="1">IF(COUNTA(AB50),OFFSET($C50:AB74,0,0,1,1),"")</f>
        <v/>
      </c>
      <c r="BG50" s="72" t="str">
        <f ca="1">IF(COUNTA(AC50),OFFSET($C50:AC74,0,0,1,1),"")</f>
        <v/>
      </c>
      <c r="BH50" s="141" t="str">
        <f ca="1">IF(COUNTA(AD50),OFFSET($C50:AD74,0,0,1,1),"")</f>
        <v/>
      </c>
      <c r="BI50" s="141" t="str">
        <f ca="1">IF(COUNTA(AE50),OFFSET($C50:AE74,0,0,1,1),"")</f>
        <v/>
      </c>
    </row>
    <row r="51" spans="1:61" s="15" customFormat="1" ht="18.45" hidden="1" customHeight="1" x14ac:dyDescent="0.15">
      <c r="A51" s="199"/>
      <c r="B51" s="199"/>
      <c r="C51" s="95" t="s">
        <v>3</v>
      </c>
      <c r="D51" s="128"/>
      <c r="E51" s="73"/>
      <c r="F51" s="73"/>
      <c r="G51" s="73"/>
      <c r="H51" s="128"/>
      <c r="I51" s="73"/>
      <c r="J51" s="73"/>
      <c r="K51" s="73"/>
      <c r="L51" s="128"/>
      <c r="M51" s="73"/>
      <c r="N51" s="73"/>
      <c r="O51" s="73"/>
      <c r="P51" s="128"/>
      <c r="Q51" s="73"/>
      <c r="R51" s="73"/>
      <c r="S51" s="73"/>
      <c r="T51" s="128"/>
      <c r="U51" s="73"/>
      <c r="V51" s="73"/>
      <c r="W51" s="73"/>
      <c r="X51" s="128"/>
      <c r="Y51" s="73"/>
      <c r="Z51" s="73"/>
      <c r="AA51" s="73"/>
      <c r="AB51" s="128"/>
      <c r="AC51" s="73"/>
      <c r="AD51" s="73"/>
      <c r="AE51" s="173"/>
      <c r="AF51" s="36"/>
      <c r="AG51" s="18"/>
      <c r="AH51" s="72" t="str">
        <f ca="1">IF(COUNTA(D51),OFFSET($C51:D75,0,0,1,1),"")</f>
        <v/>
      </c>
      <c r="AI51" s="72" t="str">
        <f ca="1">IF(COUNTA(E51),OFFSET($C51:E75,0,0,1,1),"")</f>
        <v/>
      </c>
      <c r="AJ51" s="141" t="str">
        <f ca="1">IF(COUNTA(F51),OFFSET($C51:F75,0,0,1,1),"")</f>
        <v/>
      </c>
      <c r="AK51" s="141" t="str">
        <f ca="1">IF(COUNTA(G51),OFFSET($C51:G75,0,0,1,1),"")</f>
        <v/>
      </c>
      <c r="AL51" s="72" t="str">
        <f ca="1">IF(COUNTA(H51),OFFSET($C51:H75,0,0,1,1),"")</f>
        <v/>
      </c>
      <c r="AM51" s="72" t="str">
        <f ca="1">IF(COUNTA(I51),OFFSET($C51:I75,0,0,1,1),"")</f>
        <v/>
      </c>
      <c r="AN51" s="141" t="str">
        <f ca="1">IF(COUNTA(J51),OFFSET($C51:J75,0,0,1,1),"")</f>
        <v/>
      </c>
      <c r="AO51" s="141" t="str">
        <f ca="1">IF(COUNTA(K51),OFFSET($C51:K75,0,0,1,1),"")</f>
        <v/>
      </c>
      <c r="AP51" s="72" t="str">
        <f ca="1">IF(COUNTA(L51),OFFSET($C51:L75,0,0,1,1),"")</f>
        <v/>
      </c>
      <c r="AQ51" s="72" t="str">
        <f ca="1">IF(COUNTA(M51),OFFSET($C51:M75,0,0,1,1),"")</f>
        <v/>
      </c>
      <c r="AR51" s="141" t="str">
        <f ca="1">IF(COUNTA(N51),OFFSET($C51:N75,0,0,1,1),"")</f>
        <v/>
      </c>
      <c r="AS51" s="141" t="str">
        <f ca="1">IF(COUNTA(O51),OFFSET($C51:O75,0,0,1,1),"")</f>
        <v/>
      </c>
      <c r="AT51" s="72" t="str">
        <f ca="1">IF(COUNTA(P51),OFFSET($C51:P75,0,0,1,1),"")</f>
        <v/>
      </c>
      <c r="AU51" s="72" t="str">
        <f ca="1">IF(COUNTA(Q51),OFFSET($C51:Q75,0,0,1,1),"")</f>
        <v/>
      </c>
      <c r="AV51" s="141" t="str">
        <f ca="1">IF(COUNTA(R51),OFFSET($C51:R75,0,0,1,1),"")</f>
        <v/>
      </c>
      <c r="AW51" s="141" t="str">
        <f ca="1">IF(COUNTA(S51),OFFSET($C51:S75,0,0,1,1),"")</f>
        <v/>
      </c>
      <c r="AX51" s="72" t="str">
        <f ca="1">IF(COUNTA(T51),OFFSET($C51:T75,0,0,1,1),"")</f>
        <v/>
      </c>
      <c r="AY51" s="72" t="str">
        <f ca="1">IF(COUNTA(U51),OFFSET($C51:U75,0,0,1,1),"")</f>
        <v/>
      </c>
      <c r="AZ51" s="141" t="str">
        <f ca="1">IF(COUNTA(V51),OFFSET($C51:V75,0,0,1,1),"")</f>
        <v/>
      </c>
      <c r="BA51" s="141" t="str">
        <f ca="1">IF(COUNTA(W51),OFFSET($C51:W75,0,0,1,1),"")</f>
        <v/>
      </c>
      <c r="BB51" s="72" t="str">
        <f ca="1">IF(COUNTA(X51),OFFSET($C51:X75,0,0,1,1),"")</f>
        <v/>
      </c>
      <c r="BC51" s="72" t="str">
        <f ca="1">IF(COUNTA(Y51),OFFSET($C51:Y75,0,0,1,1),"")</f>
        <v/>
      </c>
      <c r="BD51" s="141" t="str">
        <f ca="1">IF(COUNTA(Z51),OFFSET($C51:Z75,0,0,1,1),"")</f>
        <v/>
      </c>
      <c r="BE51" s="141" t="str">
        <f ca="1">IF(COUNTA(AA51),OFFSET($C51:AA75,0,0,1,1),"")</f>
        <v/>
      </c>
      <c r="BF51" s="72" t="str">
        <f ca="1">IF(COUNTA(AB51),OFFSET($C51:AB75,0,0,1,1),"")</f>
        <v/>
      </c>
      <c r="BG51" s="72" t="str">
        <f ca="1">IF(COUNTA(AC51),OFFSET($C51:AC75,0,0,1,1),"")</f>
        <v/>
      </c>
      <c r="BH51" s="141" t="str">
        <f ca="1">IF(COUNTA(AD51),OFFSET($C51:AD75,0,0,1,1),"")</f>
        <v/>
      </c>
      <c r="BI51" s="141" t="str">
        <f ca="1">IF(COUNTA(AE51),OFFSET($C51:AE75,0,0,1,1),"")</f>
        <v/>
      </c>
    </row>
    <row r="52" spans="1:61" s="15" customFormat="1" ht="18.45" hidden="1" customHeight="1" x14ac:dyDescent="0.15">
      <c r="A52" s="199"/>
      <c r="B52" s="199"/>
      <c r="C52" s="95" t="s">
        <v>3</v>
      </c>
      <c r="D52" s="128"/>
      <c r="E52" s="73"/>
      <c r="F52" s="73"/>
      <c r="G52" s="73"/>
      <c r="H52" s="128"/>
      <c r="I52" s="73"/>
      <c r="J52" s="73"/>
      <c r="K52" s="73"/>
      <c r="L52" s="128"/>
      <c r="M52" s="73"/>
      <c r="N52" s="73"/>
      <c r="O52" s="73"/>
      <c r="P52" s="128"/>
      <c r="Q52" s="73"/>
      <c r="R52" s="73"/>
      <c r="S52" s="73"/>
      <c r="T52" s="128"/>
      <c r="U52" s="73"/>
      <c r="V52" s="73"/>
      <c r="W52" s="73"/>
      <c r="X52" s="128"/>
      <c r="Y52" s="73"/>
      <c r="Z52" s="73"/>
      <c r="AA52" s="73"/>
      <c r="AB52" s="128"/>
      <c r="AC52" s="73"/>
      <c r="AD52" s="73"/>
      <c r="AE52" s="173"/>
      <c r="AF52" s="36"/>
      <c r="AG52" s="18"/>
      <c r="AH52" s="72" t="str">
        <f ca="1">IF(COUNTA(D52),OFFSET($C52:D76,0,0,1,1),"")</f>
        <v/>
      </c>
      <c r="AI52" s="72" t="str">
        <f ca="1">IF(COUNTA(E52),OFFSET($C52:E76,0,0,1,1),"")</f>
        <v/>
      </c>
      <c r="AJ52" s="141" t="str">
        <f ca="1">IF(COUNTA(F52),OFFSET($C52:F76,0,0,1,1),"")</f>
        <v/>
      </c>
      <c r="AK52" s="141" t="str">
        <f ca="1">IF(COUNTA(G52),OFFSET($C52:G76,0,0,1,1),"")</f>
        <v/>
      </c>
      <c r="AL52" s="72" t="str">
        <f ca="1">IF(COUNTA(H52),OFFSET($C52:H76,0,0,1,1),"")</f>
        <v/>
      </c>
      <c r="AM52" s="72" t="str">
        <f ca="1">IF(COUNTA(I52),OFFSET($C52:I76,0,0,1,1),"")</f>
        <v/>
      </c>
      <c r="AN52" s="141" t="str">
        <f ca="1">IF(COUNTA(J52),OFFSET($C52:J76,0,0,1,1),"")</f>
        <v/>
      </c>
      <c r="AO52" s="141" t="str">
        <f ca="1">IF(COUNTA(K52),OFFSET($C52:K76,0,0,1,1),"")</f>
        <v/>
      </c>
      <c r="AP52" s="72" t="str">
        <f ca="1">IF(COUNTA(L52),OFFSET($C52:L76,0,0,1,1),"")</f>
        <v/>
      </c>
      <c r="AQ52" s="72" t="str">
        <f ca="1">IF(COUNTA(M52),OFFSET($C52:M76,0,0,1,1),"")</f>
        <v/>
      </c>
      <c r="AR52" s="141" t="str">
        <f ca="1">IF(COUNTA(N52),OFFSET($C52:N76,0,0,1,1),"")</f>
        <v/>
      </c>
      <c r="AS52" s="141" t="str">
        <f ca="1">IF(COUNTA(O52),OFFSET($C52:O76,0,0,1,1),"")</f>
        <v/>
      </c>
      <c r="AT52" s="72" t="str">
        <f ca="1">IF(COUNTA(P52),OFFSET($C52:P76,0,0,1,1),"")</f>
        <v/>
      </c>
      <c r="AU52" s="72" t="str">
        <f ca="1">IF(COUNTA(Q52),OFFSET($C52:Q76,0,0,1,1),"")</f>
        <v/>
      </c>
      <c r="AV52" s="141" t="str">
        <f ca="1">IF(COUNTA(R52),OFFSET($C52:R76,0,0,1,1),"")</f>
        <v/>
      </c>
      <c r="AW52" s="141" t="str">
        <f ca="1">IF(COUNTA(S52),OFFSET($C52:S76,0,0,1,1),"")</f>
        <v/>
      </c>
      <c r="AX52" s="72" t="str">
        <f ca="1">IF(COUNTA(T52),OFFSET($C52:T76,0,0,1,1),"")</f>
        <v/>
      </c>
      <c r="AY52" s="72" t="str">
        <f ca="1">IF(COUNTA(U52),OFFSET($C52:U76,0,0,1,1),"")</f>
        <v/>
      </c>
      <c r="AZ52" s="141" t="str">
        <f ca="1">IF(COUNTA(V52),OFFSET($C52:V76,0,0,1,1),"")</f>
        <v/>
      </c>
      <c r="BA52" s="141" t="str">
        <f ca="1">IF(COUNTA(W52),OFFSET($C52:W76,0,0,1,1),"")</f>
        <v/>
      </c>
      <c r="BB52" s="72" t="str">
        <f ca="1">IF(COUNTA(X52),OFFSET($C52:X76,0,0,1,1),"")</f>
        <v/>
      </c>
      <c r="BC52" s="72" t="str">
        <f ca="1">IF(COUNTA(Y52),OFFSET($C52:Y76,0,0,1,1),"")</f>
        <v/>
      </c>
      <c r="BD52" s="141" t="str">
        <f ca="1">IF(COUNTA(Z52),OFFSET($C52:Z76,0,0,1,1),"")</f>
        <v/>
      </c>
      <c r="BE52" s="141" t="str">
        <f ca="1">IF(COUNTA(AA52),OFFSET($C52:AA76,0,0,1,1),"")</f>
        <v/>
      </c>
      <c r="BF52" s="72" t="str">
        <f ca="1">IF(COUNTA(AB52),OFFSET($C52:AB76,0,0,1,1),"")</f>
        <v/>
      </c>
      <c r="BG52" s="72" t="str">
        <f ca="1">IF(COUNTA(AC52),OFFSET($C52:AC76,0,0,1,1),"")</f>
        <v/>
      </c>
      <c r="BH52" s="141" t="str">
        <f ca="1">IF(COUNTA(AD52),OFFSET($C52:AD76,0,0,1,1),"")</f>
        <v/>
      </c>
      <c r="BI52" s="141" t="str">
        <f ca="1">IF(COUNTA(AE52),OFFSET($C52:AE76,0,0,1,1),"")</f>
        <v/>
      </c>
    </row>
    <row r="53" spans="1:61" s="15" customFormat="1" ht="18.45" hidden="1" customHeight="1" x14ac:dyDescent="0.15">
      <c r="A53" s="199"/>
      <c r="B53" s="199"/>
      <c r="C53" s="95" t="s">
        <v>3</v>
      </c>
      <c r="D53" s="128"/>
      <c r="E53" s="73"/>
      <c r="F53" s="73"/>
      <c r="G53" s="73"/>
      <c r="H53" s="128"/>
      <c r="I53" s="73"/>
      <c r="J53" s="73"/>
      <c r="K53" s="73"/>
      <c r="L53" s="128"/>
      <c r="M53" s="73"/>
      <c r="N53" s="73"/>
      <c r="O53" s="73"/>
      <c r="P53" s="128"/>
      <c r="Q53" s="73"/>
      <c r="R53" s="73"/>
      <c r="S53" s="73"/>
      <c r="T53" s="128"/>
      <c r="U53" s="73"/>
      <c r="V53" s="73"/>
      <c r="W53" s="73"/>
      <c r="X53" s="128"/>
      <c r="Y53" s="73"/>
      <c r="Z53" s="73"/>
      <c r="AA53" s="73"/>
      <c r="AB53" s="128"/>
      <c r="AC53" s="73"/>
      <c r="AD53" s="73"/>
      <c r="AE53" s="173"/>
      <c r="AF53" s="36"/>
      <c r="AG53" s="18"/>
      <c r="AH53" s="72" t="str">
        <f ca="1">IF(COUNTA(D53),OFFSET($C53:D77,0,0,1,1),"")</f>
        <v/>
      </c>
      <c r="AI53" s="72" t="str">
        <f ca="1">IF(COUNTA(E53),OFFSET($C53:E77,0,0,1,1),"")</f>
        <v/>
      </c>
      <c r="AJ53" s="141" t="str">
        <f ca="1">IF(COUNTA(F53),OFFSET($C53:F77,0,0,1,1),"")</f>
        <v/>
      </c>
      <c r="AK53" s="141" t="str">
        <f ca="1">IF(COUNTA(G53),OFFSET($C53:G77,0,0,1,1),"")</f>
        <v/>
      </c>
      <c r="AL53" s="72" t="str">
        <f ca="1">IF(COUNTA(H53),OFFSET($C53:H77,0,0,1,1),"")</f>
        <v/>
      </c>
      <c r="AM53" s="72" t="str">
        <f ca="1">IF(COUNTA(I53),OFFSET($C53:I77,0,0,1,1),"")</f>
        <v/>
      </c>
      <c r="AN53" s="141" t="str">
        <f ca="1">IF(COUNTA(J53),OFFSET($C53:J77,0,0,1,1),"")</f>
        <v/>
      </c>
      <c r="AO53" s="141" t="str">
        <f ca="1">IF(COUNTA(K53),OFFSET($C53:K77,0,0,1,1),"")</f>
        <v/>
      </c>
      <c r="AP53" s="72" t="str">
        <f ca="1">IF(COUNTA(L53),OFFSET($C53:L77,0,0,1,1),"")</f>
        <v/>
      </c>
      <c r="AQ53" s="72" t="str">
        <f ca="1">IF(COUNTA(M53),OFFSET($C53:M77,0,0,1,1),"")</f>
        <v/>
      </c>
      <c r="AR53" s="141" t="str">
        <f ca="1">IF(COUNTA(N53),OFFSET($C53:N77,0,0,1,1),"")</f>
        <v/>
      </c>
      <c r="AS53" s="141" t="str">
        <f ca="1">IF(COUNTA(O53),OFFSET($C53:O77,0,0,1,1),"")</f>
        <v/>
      </c>
      <c r="AT53" s="72" t="str">
        <f ca="1">IF(COUNTA(P53),OFFSET($C53:P77,0,0,1,1),"")</f>
        <v/>
      </c>
      <c r="AU53" s="72" t="str">
        <f ca="1">IF(COUNTA(Q53),OFFSET($C53:Q77,0,0,1,1),"")</f>
        <v/>
      </c>
      <c r="AV53" s="141" t="str">
        <f ca="1">IF(COUNTA(R53),OFFSET($C53:R77,0,0,1,1),"")</f>
        <v/>
      </c>
      <c r="AW53" s="141" t="str">
        <f ca="1">IF(COUNTA(S53),OFFSET($C53:S77,0,0,1,1),"")</f>
        <v/>
      </c>
      <c r="AX53" s="72" t="str">
        <f ca="1">IF(COUNTA(T53),OFFSET($C53:T77,0,0,1,1),"")</f>
        <v/>
      </c>
      <c r="AY53" s="72" t="str">
        <f ca="1">IF(COUNTA(U53),OFFSET($C53:U77,0,0,1,1),"")</f>
        <v/>
      </c>
      <c r="AZ53" s="141" t="str">
        <f ca="1">IF(COUNTA(V53),OFFSET($C53:V77,0,0,1,1),"")</f>
        <v/>
      </c>
      <c r="BA53" s="141" t="str">
        <f ca="1">IF(COUNTA(W53),OFFSET($C53:W77,0,0,1,1),"")</f>
        <v/>
      </c>
      <c r="BB53" s="72" t="str">
        <f ca="1">IF(COUNTA(X53),OFFSET($C53:X77,0,0,1,1),"")</f>
        <v/>
      </c>
      <c r="BC53" s="72" t="str">
        <f ca="1">IF(COUNTA(Y53),OFFSET($C53:Y77,0,0,1,1),"")</f>
        <v/>
      </c>
      <c r="BD53" s="141" t="str">
        <f ca="1">IF(COUNTA(Z53),OFFSET($C53:Z77,0,0,1,1),"")</f>
        <v/>
      </c>
      <c r="BE53" s="141" t="str">
        <f ca="1">IF(COUNTA(AA53),OFFSET($C53:AA77,0,0,1,1),"")</f>
        <v/>
      </c>
      <c r="BF53" s="72" t="str">
        <f ca="1">IF(COUNTA(AB53),OFFSET($C53:AB77,0,0,1,1),"")</f>
        <v/>
      </c>
      <c r="BG53" s="72" t="str">
        <f ca="1">IF(COUNTA(AC53),OFFSET($C53:AC77,0,0,1,1),"")</f>
        <v/>
      </c>
      <c r="BH53" s="141" t="str">
        <f ca="1">IF(COUNTA(AD53),OFFSET($C53:AD77,0,0,1,1),"")</f>
        <v/>
      </c>
      <c r="BI53" s="141" t="str">
        <f ca="1">IF(COUNTA(AE53),OFFSET($C53:AE77,0,0,1,1),"")</f>
        <v/>
      </c>
    </row>
    <row r="54" spans="1:61" s="15" customFormat="1" ht="18.45" hidden="1" customHeight="1" x14ac:dyDescent="0.15">
      <c r="A54" s="199"/>
      <c r="B54" s="199"/>
      <c r="C54" s="95" t="s">
        <v>3</v>
      </c>
      <c r="D54" s="128"/>
      <c r="E54" s="73"/>
      <c r="F54" s="73"/>
      <c r="G54" s="73"/>
      <c r="H54" s="128"/>
      <c r="I54" s="73"/>
      <c r="J54" s="73"/>
      <c r="K54" s="73"/>
      <c r="L54" s="128"/>
      <c r="M54" s="73"/>
      <c r="N54" s="73"/>
      <c r="O54" s="73"/>
      <c r="P54" s="128"/>
      <c r="Q54" s="73"/>
      <c r="R54" s="73"/>
      <c r="S54" s="73"/>
      <c r="T54" s="128"/>
      <c r="U54" s="73"/>
      <c r="V54" s="73"/>
      <c r="W54" s="73"/>
      <c r="X54" s="128"/>
      <c r="Y54" s="73"/>
      <c r="Z54" s="73"/>
      <c r="AA54" s="73"/>
      <c r="AB54" s="128"/>
      <c r="AC54" s="73"/>
      <c r="AD54" s="73"/>
      <c r="AE54" s="173"/>
      <c r="AF54" s="36"/>
      <c r="AG54" s="18"/>
      <c r="AH54" s="72" t="str">
        <f ca="1">IF(COUNTA(D54),OFFSET($C54:D78,0,0,1,1),"")</f>
        <v/>
      </c>
      <c r="AI54" s="72" t="str">
        <f ca="1">IF(COUNTA(E54),OFFSET($C54:E78,0,0,1,1),"")</f>
        <v/>
      </c>
      <c r="AJ54" s="141" t="str">
        <f ca="1">IF(COUNTA(F54),OFFSET($C54:F78,0,0,1,1),"")</f>
        <v/>
      </c>
      <c r="AK54" s="141" t="str">
        <f ca="1">IF(COUNTA(G54),OFFSET($C54:G78,0,0,1,1),"")</f>
        <v/>
      </c>
      <c r="AL54" s="72" t="str">
        <f ca="1">IF(COUNTA(H54),OFFSET($C54:H78,0,0,1,1),"")</f>
        <v/>
      </c>
      <c r="AM54" s="72" t="str">
        <f ca="1">IF(COUNTA(I54),OFFSET($C54:I78,0,0,1,1),"")</f>
        <v/>
      </c>
      <c r="AN54" s="141" t="str">
        <f ca="1">IF(COUNTA(J54),OFFSET($C54:J78,0,0,1,1),"")</f>
        <v/>
      </c>
      <c r="AO54" s="141" t="str">
        <f ca="1">IF(COUNTA(K54),OFFSET($C54:K78,0,0,1,1),"")</f>
        <v/>
      </c>
      <c r="AP54" s="72" t="str">
        <f ca="1">IF(COUNTA(L54),OFFSET($C54:L78,0,0,1,1),"")</f>
        <v/>
      </c>
      <c r="AQ54" s="72" t="str">
        <f ca="1">IF(COUNTA(M54),OFFSET($C54:M78,0,0,1,1),"")</f>
        <v/>
      </c>
      <c r="AR54" s="141" t="str">
        <f ca="1">IF(COUNTA(N54),OFFSET($C54:N78,0,0,1,1),"")</f>
        <v/>
      </c>
      <c r="AS54" s="141" t="str">
        <f ca="1">IF(COUNTA(O54),OFFSET($C54:O78,0,0,1,1),"")</f>
        <v/>
      </c>
      <c r="AT54" s="72" t="str">
        <f ca="1">IF(COUNTA(P54),OFFSET($C54:P78,0,0,1,1),"")</f>
        <v/>
      </c>
      <c r="AU54" s="72" t="str">
        <f ca="1">IF(COUNTA(Q54),OFFSET($C54:Q78,0,0,1,1),"")</f>
        <v/>
      </c>
      <c r="AV54" s="141" t="str">
        <f ca="1">IF(COUNTA(R54),OFFSET($C54:R78,0,0,1,1),"")</f>
        <v/>
      </c>
      <c r="AW54" s="141" t="str">
        <f ca="1">IF(COUNTA(S54),OFFSET($C54:S78,0,0,1,1),"")</f>
        <v/>
      </c>
      <c r="AX54" s="72" t="str">
        <f ca="1">IF(COUNTA(T54),OFFSET($C54:T78,0,0,1,1),"")</f>
        <v/>
      </c>
      <c r="AY54" s="72" t="str">
        <f ca="1">IF(COUNTA(U54),OFFSET($C54:U78,0,0,1,1),"")</f>
        <v/>
      </c>
      <c r="AZ54" s="141" t="str">
        <f ca="1">IF(COUNTA(V54),OFFSET($C54:V78,0,0,1,1),"")</f>
        <v/>
      </c>
      <c r="BA54" s="141" t="str">
        <f ca="1">IF(COUNTA(W54),OFFSET($C54:W78,0,0,1,1),"")</f>
        <v/>
      </c>
      <c r="BB54" s="72" t="str">
        <f ca="1">IF(COUNTA(X54),OFFSET($C54:X78,0,0,1,1),"")</f>
        <v/>
      </c>
      <c r="BC54" s="72" t="str">
        <f ca="1">IF(COUNTA(Y54),OFFSET($C54:Y78,0,0,1,1),"")</f>
        <v/>
      </c>
      <c r="BD54" s="141" t="str">
        <f ca="1">IF(COUNTA(Z54),OFFSET($C54:Z78,0,0,1,1),"")</f>
        <v/>
      </c>
      <c r="BE54" s="141" t="str">
        <f ca="1">IF(COUNTA(AA54),OFFSET($C54:AA78,0,0,1,1),"")</f>
        <v/>
      </c>
      <c r="BF54" s="72" t="str">
        <f ca="1">IF(COUNTA(AB54),OFFSET($C54:AB78,0,0,1,1),"")</f>
        <v/>
      </c>
      <c r="BG54" s="72" t="str">
        <f ca="1">IF(COUNTA(AC54),OFFSET($C54:AC78,0,0,1,1),"")</f>
        <v/>
      </c>
      <c r="BH54" s="141" t="str">
        <f ca="1">IF(COUNTA(AD54),OFFSET($C54:AD78,0,0,1,1),"")</f>
        <v/>
      </c>
      <c r="BI54" s="141" t="str">
        <f ca="1">IF(COUNTA(AE54),OFFSET($C54:AE78,0,0,1,1),"")</f>
        <v/>
      </c>
    </row>
    <row r="55" spans="1:61" s="15" customFormat="1" ht="18.45" hidden="1" customHeight="1" x14ac:dyDescent="0.15">
      <c r="A55" s="199"/>
      <c r="B55" s="199"/>
      <c r="C55" s="95" t="s">
        <v>3</v>
      </c>
      <c r="D55" s="128"/>
      <c r="E55" s="73"/>
      <c r="F55" s="73"/>
      <c r="G55" s="73"/>
      <c r="H55" s="128"/>
      <c r="I55" s="73"/>
      <c r="J55" s="73"/>
      <c r="K55" s="73"/>
      <c r="L55" s="128"/>
      <c r="M55" s="73"/>
      <c r="N55" s="73"/>
      <c r="O55" s="73"/>
      <c r="P55" s="128"/>
      <c r="Q55" s="73"/>
      <c r="R55" s="73"/>
      <c r="S55" s="73"/>
      <c r="T55" s="128"/>
      <c r="U55" s="73"/>
      <c r="V55" s="73"/>
      <c r="W55" s="73"/>
      <c r="X55" s="128"/>
      <c r="Y55" s="73"/>
      <c r="Z55" s="73"/>
      <c r="AA55" s="73"/>
      <c r="AB55" s="128"/>
      <c r="AC55" s="73"/>
      <c r="AD55" s="73"/>
      <c r="AE55" s="173"/>
      <c r="AF55" s="36"/>
      <c r="AG55" s="18"/>
      <c r="AH55" s="72" t="str">
        <f ca="1">IF(COUNTA(D55),OFFSET($C55:D79,0,0,1,1),"")</f>
        <v/>
      </c>
      <c r="AI55" s="72" t="str">
        <f ca="1">IF(COUNTA(E55),OFFSET($C55:E79,0,0,1,1),"")</f>
        <v/>
      </c>
      <c r="AJ55" s="141" t="str">
        <f ca="1">IF(COUNTA(F55),OFFSET($C55:F79,0,0,1,1),"")</f>
        <v/>
      </c>
      <c r="AK55" s="141" t="str">
        <f ca="1">IF(COUNTA(G55),OFFSET($C55:G79,0,0,1,1),"")</f>
        <v/>
      </c>
      <c r="AL55" s="72" t="str">
        <f ca="1">IF(COUNTA(H55),OFFSET($C55:H79,0,0,1,1),"")</f>
        <v/>
      </c>
      <c r="AM55" s="72" t="str">
        <f ca="1">IF(COUNTA(I55),OFFSET($C55:I79,0,0,1,1),"")</f>
        <v/>
      </c>
      <c r="AN55" s="141" t="str">
        <f ca="1">IF(COUNTA(J55),OFFSET($C55:J79,0,0,1,1),"")</f>
        <v/>
      </c>
      <c r="AO55" s="141" t="str">
        <f ca="1">IF(COUNTA(K55),OFFSET($C55:K79,0,0,1,1),"")</f>
        <v/>
      </c>
      <c r="AP55" s="72" t="str">
        <f ca="1">IF(COUNTA(L55),OFFSET($C55:L79,0,0,1,1),"")</f>
        <v/>
      </c>
      <c r="AQ55" s="72" t="str">
        <f ca="1">IF(COUNTA(M55),OFFSET($C55:M79,0,0,1,1),"")</f>
        <v/>
      </c>
      <c r="AR55" s="141" t="str">
        <f ca="1">IF(COUNTA(N55),OFFSET($C55:N79,0,0,1,1),"")</f>
        <v/>
      </c>
      <c r="AS55" s="141" t="str">
        <f ca="1">IF(COUNTA(O55),OFFSET($C55:O79,0,0,1,1),"")</f>
        <v/>
      </c>
      <c r="AT55" s="72" t="str">
        <f ca="1">IF(COUNTA(P55),OFFSET($C55:P79,0,0,1,1),"")</f>
        <v/>
      </c>
      <c r="AU55" s="72" t="str">
        <f ca="1">IF(COUNTA(Q55),OFFSET($C55:Q79,0,0,1,1),"")</f>
        <v/>
      </c>
      <c r="AV55" s="141" t="str">
        <f ca="1">IF(COUNTA(R55),OFFSET($C55:R79,0,0,1,1),"")</f>
        <v/>
      </c>
      <c r="AW55" s="141" t="str">
        <f ca="1">IF(COUNTA(S55),OFFSET($C55:S79,0,0,1,1),"")</f>
        <v/>
      </c>
      <c r="AX55" s="72" t="str">
        <f ca="1">IF(COUNTA(T55),OFFSET($C55:T79,0,0,1,1),"")</f>
        <v/>
      </c>
      <c r="AY55" s="72" t="str">
        <f ca="1">IF(COUNTA(U55),OFFSET($C55:U79,0,0,1,1),"")</f>
        <v/>
      </c>
      <c r="AZ55" s="141" t="str">
        <f ca="1">IF(COUNTA(V55),OFFSET($C55:V79,0,0,1,1),"")</f>
        <v/>
      </c>
      <c r="BA55" s="141" t="str">
        <f ca="1">IF(COUNTA(W55),OFFSET($C55:W79,0,0,1,1),"")</f>
        <v/>
      </c>
      <c r="BB55" s="72" t="str">
        <f ca="1">IF(COUNTA(X55),OFFSET($C55:X79,0,0,1,1),"")</f>
        <v/>
      </c>
      <c r="BC55" s="72" t="str">
        <f ca="1">IF(COUNTA(Y55),OFFSET($C55:Y79,0,0,1,1),"")</f>
        <v/>
      </c>
      <c r="BD55" s="141" t="str">
        <f ca="1">IF(COUNTA(Z55),OFFSET($C55:Z79,0,0,1,1),"")</f>
        <v/>
      </c>
      <c r="BE55" s="141" t="str">
        <f ca="1">IF(COUNTA(AA55),OFFSET($C55:AA79,0,0,1,1),"")</f>
        <v/>
      </c>
      <c r="BF55" s="72" t="str">
        <f ca="1">IF(COUNTA(AB55),OFFSET($C55:AB79,0,0,1,1),"")</f>
        <v/>
      </c>
      <c r="BG55" s="72" t="str">
        <f ca="1">IF(COUNTA(AC55),OFFSET($C55:AC79,0,0,1,1),"")</f>
        <v/>
      </c>
      <c r="BH55" s="141" t="str">
        <f ca="1">IF(COUNTA(AD55),OFFSET($C55:AD79,0,0,1,1),"")</f>
        <v/>
      </c>
      <c r="BI55" s="141" t="str">
        <f ca="1">IF(COUNTA(AE55),OFFSET($C55:AE79,0,0,1,1),"")</f>
        <v/>
      </c>
    </row>
    <row r="56" spans="1:61" s="15" customFormat="1" ht="18.45" hidden="1" customHeight="1" x14ac:dyDescent="0.15">
      <c r="A56" s="199"/>
      <c r="B56" s="199"/>
      <c r="C56" s="95" t="s">
        <v>3</v>
      </c>
      <c r="D56" s="128"/>
      <c r="E56" s="73"/>
      <c r="F56" s="73"/>
      <c r="G56" s="73"/>
      <c r="H56" s="128"/>
      <c r="I56" s="73"/>
      <c r="J56" s="73"/>
      <c r="K56" s="73"/>
      <c r="L56" s="128"/>
      <c r="M56" s="73"/>
      <c r="N56" s="73"/>
      <c r="O56" s="73"/>
      <c r="P56" s="128"/>
      <c r="Q56" s="73"/>
      <c r="R56" s="73"/>
      <c r="S56" s="73"/>
      <c r="T56" s="128"/>
      <c r="U56" s="73"/>
      <c r="V56" s="73"/>
      <c r="W56" s="73"/>
      <c r="X56" s="128"/>
      <c r="Y56" s="73"/>
      <c r="Z56" s="73"/>
      <c r="AA56" s="73"/>
      <c r="AB56" s="128"/>
      <c r="AC56" s="73"/>
      <c r="AD56" s="73"/>
      <c r="AE56" s="173"/>
      <c r="AF56" s="36"/>
      <c r="AG56" s="18"/>
      <c r="AH56" s="72" t="str">
        <f ca="1">IF(COUNTA(D56),OFFSET($C56:D80,0,0,1,1),"")</f>
        <v/>
      </c>
      <c r="AI56" s="72" t="str">
        <f ca="1">IF(COUNTA(E56),OFFSET($C56:E80,0,0,1,1),"")</f>
        <v/>
      </c>
      <c r="AJ56" s="141" t="str">
        <f ca="1">IF(COUNTA(F56),OFFSET($C56:F80,0,0,1,1),"")</f>
        <v/>
      </c>
      <c r="AK56" s="141" t="str">
        <f ca="1">IF(COUNTA(G56),OFFSET($C56:G80,0,0,1,1),"")</f>
        <v/>
      </c>
      <c r="AL56" s="72" t="str">
        <f ca="1">IF(COUNTA(H56),OFFSET($C56:H80,0,0,1,1),"")</f>
        <v/>
      </c>
      <c r="AM56" s="72" t="str">
        <f ca="1">IF(COUNTA(I56),OFFSET($C56:I80,0,0,1,1),"")</f>
        <v/>
      </c>
      <c r="AN56" s="141" t="str">
        <f ca="1">IF(COUNTA(J56),OFFSET($C56:J80,0,0,1,1),"")</f>
        <v/>
      </c>
      <c r="AO56" s="141" t="str">
        <f ca="1">IF(COUNTA(K56),OFFSET($C56:K80,0,0,1,1),"")</f>
        <v/>
      </c>
      <c r="AP56" s="72" t="str">
        <f ca="1">IF(COUNTA(L56),OFFSET($C56:L80,0,0,1,1),"")</f>
        <v/>
      </c>
      <c r="AQ56" s="72" t="str">
        <f ca="1">IF(COUNTA(M56),OFFSET($C56:M80,0,0,1,1),"")</f>
        <v/>
      </c>
      <c r="AR56" s="141" t="str">
        <f ca="1">IF(COUNTA(N56),OFFSET($C56:N80,0,0,1,1),"")</f>
        <v/>
      </c>
      <c r="AS56" s="141" t="str">
        <f ca="1">IF(COUNTA(O56),OFFSET($C56:O80,0,0,1,1),"")</f>
        <v/>
      </c>
      <c r="AT56" s="72" t="str">
        <f ca="1">IF(COUNTA(P56),OFFSET($C56:P80,0,0,1,1),"")</f>
        <v/>
      </c>
      <c r="AU56" s="72" t="str">
        <f ca="1">IF(COUNTA(Q56),OFFSET($C56:Q80,0,0,1,1),"")</f>
        <v/>
      </c>
      <c r="AV56" s="141" t="str">
        <f ca="1">IF(COUNTA(R56),OFFSET($C56:R80,0,0,1,1),"")</f>
        <v/>
      </c>
      <c r="AW56" s="141" t="str">
        <f ca="1">IF(COUNTA(S56),OFFSET($C56:S80,0,0,1,1),"")</f>
        <v/>
      </c>
      <c r="AX56" s="72" t="str">
        <f ca="1">IF(COUNTA(T56),OFFSET($C56:T80,0,0,1,1),"")</f>
        <v/>
      </c>
      <c r="AY56" s="72" t="str">
        <f ca="1">IF(COUNTA(U56),OFFSET($C56:U80,0,0,1,1),"")</f>
        <v/>
      </c>
      <c r="AZ56" s="141" t="str">
        <f ca="1">IF(COUNTA(V56),OFFSET($C56:V80,0,0,1,1),"")</f>
        <v/>
      </c>
      <c r="BA56" s="141" t="str">
        <f ca="1">IF(COUNTA(W56),OFFSET($C56:W80,0,0,1,1),"")</f>
        <v/>
      </c>
      <c r="BB56" s="72" t="str">
        <f ca="1">IF(COUNTA(X56),OFFSET($C56:X80,0,0,1,1),"")</f>
        <v/>
      </c>
      <c r="BC56" s="72" t="str">
        <f ca="1">IF(COUNTA(Y56),OFFSET($C56:Y80,0,0,1,1),"")</f>
        <v/>
      </c>
      <c r="BD56" s="141" t="str">
        <f ca="1">IF(COUNTA(Z56),OFFSET($C56:Z80,0,0,1,1),"")</f>
        <v/>
      </c>
      <c r="BE56" s="141" t="str">
        <f ca="1">IF(COUNTA(AA56),OFFSET($C56:AA80,0,0,1,1),"")</f>
        <v/>
      </c>
      <c r="BF56" s="72" t="str">
        <f ca="1">IF(COUNTA(AB56),OFFSET($C56:AB80,0,0,1,1),"")</f>
        <v/>
      </c>
      <c r="BG56" s="72" t="str">
        <f ca="1">IF(COUNTA(AC56),OFFSET($C56:AC80,0,0,1,1),"")</f>
        <v/>
      </c>
      <c r="BH56" s="141" t="str">
        <f ca="1">IF(COUNTA(AD56),OFFSET($C56:AD80,0,0,1,1),"")</f>
        <v/>
      </c>
      <c r="BI56" s="141" t="str">
        <f ca="1">IF(COUNTA(AE56),OFFSET($C56:AE80,0,0,1,1),"")</f>
        <v/>
      </c>
    </row>
    <row r="57" spans="1:61" s="15" customFormat="1" ht="18.45" hidden="1" customHeight="1" x14ac:dyDescent="0.15">
      <c r="A57" s="199"/>
      <c r="B57" s="199"/>
      <c r="C57" s="95" t="s">
        <v>3</v>
      </c>
      <c r="D57" s="128"/>
      <c r="E57" s="73"/>
      <c r="F57" s="73"/>
      <c r="G57" s="73"/>
      <c r="H57" s="128"/>
      <c r="I57" s="73"/>
      <c r="J57" s="73"/>
      <c r="K57" s="73"/>
      <c r="L57" s="128"/>
      <c r="M57" s="73"/>
      <c r="N57" s="73"/>
      <c r="O57" s="73"/>
      <c r="P57" s="128"/>
      <c r="Q57" s="73"/>
      <c r="R57" s="73"/>
      <c r="S57" s="73"/>
      <c r="T57" s="128"/>
      <c r="U57" s="73"/>
      <c r="V57" s="73"/>
      <c r="W57" s="73"/>
      <c r="X57" s="128"/>
      <c r="Y57" s="73"/>
      <c r="Z57" s="73"/>
      <c r="AA57" s="73"/>
      <c r="AB57" s="128"/>
      <c r="AC57" s="73"/>
      <c r="AD57" s="73"/>
      <c r="AE57" s="173"/>
      <c r="AF57" s="36"/>
      <c r="AG57" s="18"/>
      <c r="AH57" s="72" t="str">
        <f ca="1">IF(COUNTA(D57),OFFSET($C57:D81,0,0,1,1),"")</f>
        <v/>
      </c>
      <c r="AI57" s="72" t="str">
        <f ca="1">IF(COUNTA(E57),OFFSET($C57:E81,0,0,1,1),"")</f>
        <v/>
      </c>
      <c r="AJ57" s="141" t="str">
        <f ca="1">IF(COUNTA(F57),OFFSET($C57:F81,0,0,1,1),"")</f>
        <v/>
      </c>
      <c r="AK57" s="141" t="str">
        <f ca="1">IF(COUNTA(G57),OFFSET($C57:G81,0,0,1,1),"")</f>
        <v/>
      </c>
      <c r="AL57" s="72" t="str">
        <f ca="1">IF(COUNTA(H57),OFFSET($C57:H81,0,0,1,1),"")</f>
        <v/>
      </c>
      <c r="AM57" s="72" t="str">
        <f ca="1">IF(COUNTA(I57),OFFSET($C57:I81,0,0,1,1),"")</f>
        <v/>
      </c>
      <c r="AN57" s="141" t="str">
        <f ca="1">IF(COUNTA(J57),OFFSET($C57:J81,0,0,1,1),"")</f>
        <v/>
      </c>
      <c r="AO57" s="141" t="str">
        <f ca="1">IF(COUNTA(K57),OFFSET($C57:K81,0,0,1,1),"")</f>
        <v/>
      </c>
      <c r="AP57" s="72" t="str">
        <f ca="1">IF(COUNTA(L57),OFFSET($C57:L81,0,0,1,1),"")</f>
        <v/>
      </c>
      <c r="AQ57" s="72" t="str">
        <f ca="1">IF(COUNTA(M57),OFFSET($C57:M81,0,0,1,1),"")</f>
        <v/>
      </c>
      <c r="AR57" s="141" t="str">
        <f ca="1">IF(COUNTA(N57),OFFSET($C57:N81,0,0,1,1),"")</f>
        <v/>
      </c>
      <c r="AS57" s="141" t="str">
        <f ca="1">IF(COUNTA(O57),OFFSET($C57:O81,0,0,1,1),"")</f>
        <v/>
      </c>
      <c r="AT57" s="72" t="str">
        <f ca="1">IF(COUNTA(P57),OFFSET($C57:P81,0,0,1,1),"")</f>
        <v/>
      </c>
      <c r="AU57" s="72" t="str">
        <f ca="1">IF(COUNTA(Q57),OFFSET($C57:Q81,0,0,1,1),"")</f>
        <v/>
      </c>
      <c r="AV57" s="141" t="str">
        <f ca="1">IF(COUNTA(R57),OFFSET($C57:R81,0,0,1,1),"")</f>
        <v/>
      </c>
      <c r="AW57" s="141" t="str">
        <f ca="1">IF(COUNTA(S57),OFFSET($C57:S81,0,0,1,1),"")</f>
        <v/>
      </c>
      <c r="AX57" s="72" t="str">
        <f ca="1">IF(COUNTA(T57),OFFSET($C57:T81,0,0,1,1),"")</f>
        <v/>
      </c>
      <c r="AY57" s="72" t="str">
        <f ca="1">IF(COUNTA(U57),OFFSET($C57:U81,0,0,1,1),"")</f>
        <v/>
      </c>
      <c r="AZ57" s="141" t="str">
        <f ca="1">IF(COUNTA(V57),OFFSET($C57:V81,0,0,1,1),"")</f>
        <v/>
      </c>
      <c r="BA57" s="141" t="str">
        <f ca="1">IF(COUNTA(W57),OFFSET($C57:W81,0,0,1,1),"")</f>
        <v/>
      </c>
      <c r="BB57" s="72" t="str">
        <f ca="1">IF(COUNTA(X57),OFFSET($C57:X81,0,0,1,1),"")</f>
        <v/>
      </c>
      <c r="BC57" s="72" t="str">
        <f ca="1">IF(COUNTA(Y57),OFFSET($C57:Y81,0,0,1,1),"")</f>
        <v/>
      </c>
      <c r="BD57" s="141" t="str">
        <f ca="1">IF(COUNTA(Z57),OFFSET($C57:Z81,0,0,1,1),"")</f>
        <v/>
      </c>
      <c r="BE57" s="141" t="str">
        <f ca="1">IF(COUNTA(AA57),OFFSET($C57:AA81,0,0,1,1),"")</f>
        <v/>
      </c>
      <c r="BF57" s="72" t="str">
        <f ca="1">IF(COUNTA(AB57),OFFSET($C57:AB81,0,0,1,1),"")</f>
        <v/>
      </c>
      <c r="BG57" s="72" t="str">
        <f ca="1">IF(COUNTA(AC57),OFFSET($C57:AC81,0,0,1,1),"")</f>
        <v/>
      </c>
      <c r="BH57" s="141" t="str">
        <f ca="1">IF(COUNTA(AD57),OFFSET($C57:AD81,0,0,1,1),"")</f>
        <v/>
      </c>
      <c r="BI57" s="141" t="str">
        <f ca="1">IF(COUNTA(AE57),OFFSET($C57:AE81,0,0,1,1),"")</f>
        <v/>
      </c>
    </row>
    <row r="58" spans="1:61" s="15" customFormat="1" ht="18.45" hidden="1" customHeight="1" x14ac:dyDescent="0.15">
      <c r="A58" s="199"/>
      <c r="B58" s="199"/>
      <c r="C58" s="95" t="s">
        <v>3</v>
      </c>
      <c r="D58" s="128"/>
      <c r="E58" s="73"/>
      <c r="F58" s="73"/>
      <c r="G58" s="73"/>
      <c r="H58" s="128"/>
      <c r="I58" s="73"/>
      <c r="J58" s="73"/>
      <c r="K58" s="73"/>
      <c r="L58" s="128"/>
      <c r="M58" s="73"/>
      <c r="N58" s="73"/>
      <c r="O58" s="73"/>
      <c r="P58" s="128"/>
      <c r="Q58" s="73"/>
      <c r="R58" s="73"/>
      <c r="S58" s="73"/>
      <c r="T58" s="128"/>
      <c r="U58" s="73"/>
      <c r="V58" s="73"/>
      <c r="W58" s="73"/>
      <c r="X58" s="128"/>
      <c r="Y58" s="73"/>
      <c r="Z58" s="73"/>
      <c r="AA58" s="73"/>
      <c r="AB58" s="128"/>
      <c r="AC58" s="73"/>
      <c r="AD58" s="73"/>
      <c r="AE58" s="173"/>
      <c r="AF58" s="36"/>
      <c r="AG58" s="18"/>
      <c r="AH58" s="72" t="str">
        <f ca="1">IF(COUNTA(D58),OFFSET($C58:D82,0,0,1,1),"")</f>
        <v/>
      </c>
      <c r="AI58" s="72" t="str">
        <f ca="1">IF(COUNTA(E58),OFFSET($C58:E82,0,0,1,1),"")</f>
        <v/>
      </c>
      <c r="AJ58" s="141" t="str">
        <f ca="1">IF(COUNTA(F58),OFFSET($C58:F82,0,0,1,1),"")</f>
        <v/>
      </c>
      <c r="AK58" s="141" t="str">
        <f ca="1">IF(COUNTA(G58),OFFSET($C58:G82,0,0,1,1),"")</f>
        <v/>
      </c>
      <c r="AL58" s="72" t="str">
        <f ca="1">IF(COUNTA(H58),OFFSET($C58:H82,0,0,1,1),"")</f>
        <v/>
      </c>
      <c r="AM58" s="72" t="str">
        <f ca="1">IF(COUNTA(I58),OFFSET($C58:I82,0,0,1,1),"")</f>
        <v/>
      </c>
      <c r="AN58" s="141" t="str">
        <f ca="1">IF(COUNTA(J58),OFFSET($C58:J82,0,0,1,1),"")</f>
        <v/>
      </c>
      <c r="AO58" s="141" t="str">
        <f ca="1">IF(COUNTA(K58),OFFSET($C58:K82,0,0,1,1),"")</f>
        <v/>
      </c>
      <c r="AP58" s="72" t="str">
        <f ca="1">IF(COUNTA(L58),OFFSET($C58:L82,0,0,1,1),"")</f>
        <v/>
      </c>
      <c r="AQ58" s="72" t="str">
        <f ca="1">IF(COUNTA(M58),OFFSET($C58:M82,0,0,1,1),"")</f>
        <v/>
      </c>
      <c r="AR58" s="141" t="str">
        <f ca="1">IF(COUNTA(N58),OFFSET($C58:N82,0,0,1,1),"")</f>
        <v/>
      </c>
      <c r="AS58" s="141" t="str">
        <f ca="1">IF(COUNTA(O58),OFFSET($C58:O82,0,0,1,1),"")</f>
        <v/>
      </c>
      <c r="AT58" s="72" t="str">
        <f ca="1">IF(COUNTA(P58),OFFSET($C58:P82,0,0,1,1),"")</f>
        <v/>
      </c>
      <c r="AU58" s="72" t="str">
        <f ca="1">IF(COUNTA(Q58),OFFSET($C58:Q82,0,0,1,1),"")</f>
        <v/>
      </c>
      <c r="AV58" s="141" t="str">
        <f ca="1">IF(COUNTA(R58),OFFSET($C58:R82,0,0,1,1),"")</f>
        <v/>
      </c>
      <c r="AW58" s="141" t="str">
        <f ca="1">IF(COUNTA(S58),OFFSET($C58:S82,0,0,1,1),"")</f>
        <v/>
      </c>
      <c r="AX58" s="72" t="str">
        <f ca="1">IF(COUNTA(T58),OFFSET($C58:T82,0,0,1,1),"")</f>
        <v/>
      </c>
      <c r="AY58" s="72" t="str">
        <f ca="1">IF(COUNTA(U58),OFFSET($C58:U82,0,0,1,1),"")</f>
        <v/>
      </c>
      <c r="AZ58" s="141" t="str">
        <f ca="1">IF(COUNTA(V58),OFFSET($C58:V82,0,0,1,1),"")</f>
        <v/>
      </c>
      <c r="BA58" s="141" t="str">
        <f ca="1">IF(COUNTA(W58),OFFSET($C58:W82,0,0,1,1),"")</f>
        <v/>
      </c>
      <c r="BB58" s="72" t="str">
        <f ca="1">IF(COUNTA(X58),OFFSET($C58:X82,0,0,1,1),"")</f>
        <v/>
      </c>
      <c r="BC58" s="72" t="str">
        <f ca="1">IF(COUNTA(Y58),OFFSET($C58:Y82,0,0,1,1),"")</f>
        <v/>
      </c>
      <c r="BD58" s="141" t="str">
        <f ca="1">IF(COUNTA(Z58),OFFSET($C58:Z82,0,0,1,1),"")</f>
        <v/>
      </c>
      <c r="BE58" s="141" t="str">
        <f ca="1">IF(COUNTA(AA58),OFFSET($C58:AA82,0,0,1,1),"")</f>
        <v/>
      </c>
      <c r="BF58" s="72" t="str">
        <f ca="1">IF(COUNTA(AB58),OFFSET($C58:AB82,0,0,1,1),"")</f>
        <v/>
      </c>
      <c r="BG58" s="72" t="str">
        <f ca="1">IF(COUNTA(AC58),OFFSET($C58:AC82,0,0,1,1),"")</f>
        <v/>
      </c>
      <c r="BH58" s="141" t="str">
        <f ca="1">IF(COUNTA(AD58),OFFSET($C58:AD82,0,0,1,1),"")</f>
        <v/>
      </c>
      <c r="BI58" s="141" t="str">
        <f ca="1">IF(COUNTA(AE58),OFFSET($C58:AE82,0,0,1,1),"")</f>
        <v/>
      </c>
    </row>
    <row r="59" spans="1:61" s="15" customFormat="1" ht="18.45" hidden="1" customHeight="1" x14ac:dyDescent="0.15">
      <c r="A59" s="199"/>
      <c r="B59" s="199"/>
      <c r="C59" s="95" t="s">
        <v>3</v>
      </c>
      <c r="D59" s="128"/>
      <c r="E59" s="73"/>
      <c r="F59" s="73"/>
      <c r="G59" s="73"/>
      <c r="H59" s="128"/>
      <c r="I59" s="73"/>
      <c r="J59" s="73"/>
      <c r="K59" s="73"/>
      <c r="L59" s="128"/>
      <c r="M59" s="73"/>
      <c r="N59" s="73"/>
      <c r="O59" s="73"/>
      <c r="P59" s="128"/>
      <c r="Q59" s="73"/>
      <c r="R59" s="73"/>
      <c r="S59" s="73"/>
      <c r="T59" s="128"/>
      <c r="U59" s="73"/>
      <c r="V59" s="73"/>
      <c r="W59" s="73"/>
      <c r="X59" s="128"/>
      <c r="Y59" s="73"/>
      <c r="Z59" s="73"/>
      <c r="AA59" s="73"/>
      <c r="AB59" s="128"/>
      <c r="AC59" s="73"/>
      <c r="AD59" s="73"/>
      <c r="AE59" s="173"/>
      <c r="AF59" s="36"/>
      <c r="AG59" s="18"/>
      <c r="AH59" s="72" t="str">
        <f ca="1">IF(COUNTA(D59),OFFSET($C59:D83,0,0,1,1),"")</f>
        <v/>
      </c>
      <c r="AI59" s="72" t="str">
        <f ca="1">IF(COUNTA(E59),OFFSET($C59:E83,0,0,1,1),"")</f>
        <v/>
      </c>
      <c r="AJ59" s="141" t="str">
        <f ca="1">IF(COUNTA(F59),OFFSET($C59:F83,0,0,1,1),"")</f>
        <v/>
      </c>
      <c r="AK59" s="141" t="str">
        <f ca="1">IF(COUNTA(G59),OFFSET($C59:G83,0,0,1,1),"")</f>
        <v/>
      </c>
      <c r="AL59" s="72" t="str">
        <f ca="1">IF(COUNTA(H59),OFFSET($C59:H83,0,0,1,1),"")</f>
        <v/>
      </c>
      <c r="AM59" s="72" t="str">
        <f ca="1">IF(COUNTA(I59),OFFSET($C59:I83,0,0,1,1),"")</f>
        <v/>
      </c>
      <c r="AN59" s="141" t="str">
        <f ca="1">IF(COUNTA(J59),OFFSET($C59:J83,0,0,1,1),"")</f>
        <v/>
      </c>
      <c r="AO59" s="141" t="str">
        <f ca="1">IF(COUNTA(K59),OFFSET($C59:K83,0,0,1,1),"")</f>
        <v/>
      </c>
      <c r="AP59" s="72" t="str">
        <f ca="1">IF(COUNTA(L59),OFFSET($C59:L83,0,0,1,1),"")</f>
        <v/>
      </c>
      <c r="AQ59" s="72" t="str">
        <f ca="1">IF(COUNTA(M59),OFFSET($C59:M83,0,0,1,1),"")</f>
        <v/>
      </c>
      <c r="AR59" s="141" t="str">
        <f ca="1">IF(COUNTA(N59),OFFSET($C59:N83,0,0,1,1),"")</f>
        <v/>
      </c>
      <c r="AS59" s="141" t="str">
        <f ca="1">IF(COUNTA(O59),OFFSET($C59:O83,0,0,1,1),"")</f>
        <v/>
      </c>
      <c r="AT59" s="72" t="str">
        <f ca="1">IF(COUNTA(P59),OFFSET($C59:P83,0,0,1,1),"")</f>
        <v/>
      </c>
      <c r="AU59" s="72" t="str">
        <f ca="1">IF(COUNTA(Q59),OFFSET($C59:Q83,0,0,1,1),"")</f>
        <v/>
      </c>
      <c r="AV59" s="141" t="str">
        <f ca="1">IF(COUNTA(R59),OFFSET($C59:R83,0,0,1,1),"")</f>
        <v/>
      </c>
      <c r="AW59" s="141" t="str">
        <f ca="1">IF(COUNTA(S59),OFFSET($C59:S83,0,0,1,1),"")</f>
        <v/>
      </c>
      <c r="AX59" s="72" t="str">
        <f ca="1">IF(COUNTA(T59),OFFSET($C59:T83,0,0,1,1),"")</f>
        <v/>
      </c>
      <c r="AY59" s="72" t="str">
        <f ca="1">IF(COUNTA(U59),OFFSET($C59:U83,0,0,1,1),"")</f>
        <v/>
      </c>
      <c r="AZ59" s="141" t="str">
        <f ca="1">IF(COUNTA(V59),OFFSET($C59:V83,0,0,1,1),"")</f>
        <v/>
      </c>
      <c r="BA59" s="141" t="str">
        <f ca="1">IF(COUNTA(W59),OFFSET($C59:W83,0,0,1,1),"")</f>
        <v/>
      </c>
      <c r="BB59" s="72" t="str">
        <f ca="1">IF(COUNTA(X59),OFFSET($C59:X83,0,0,1,1),"")</f>
        <v/>
      </c>
      <c r="BC59" s="72" t="str">
        <f ca="1">IF(COUNTA(Y59),OFFSET($C59:Y83,0,0,1,1),"")</f>
        <v/>
      </c>
      <c r="BD59" s="141" t="str">
        <f ca="1">IF(COUNTA(Z59),OFFSET($C59:Z83,0,0,1,1),"")</f>
        <v/>
      </c>
      <c r="BE59" s="141" t="str">
        <f ca="1">IF(COUNTA(AA59),OFFSET($C59:AA83,0,0,1,1),"")</f>
        <v/>
      </c>
      <c r="BF59" s="72" t="str">
        <f ca="1">IF(COUNTA(AB59),OFFSET($C59:AB83,0,0,1,1),"")</f>
        <v/>
      </c>
      <c r="BG59" s="72" t="str">
        <f ca="1">IF(COUNTA(AC59),OFFSET($C59:AC83,0,0,1,1),"")</f>
        <v/>
      </c>
      <c r="BH59" s="141" t="str">
        <f ca="1">IF(COUNTA(AD59),OFFSET($C59:AD83,0,0,1,1),"")</f>
        <v/>
      </c>
      <c r="BI59" s="141" t="str">
        <f ca="1">IF(COUNTA(AE59),OFFSET($C59:AE83,0,0,1,1),"")</f>
        <v/>
      </c>
    </row>
    <row r="60" spans="1:61" s="15" customFormat="1" ht="18.45" hidden="1" customHeight="1" x14ac:dyDescent="0.15">
      <c r="A60" s="199"/>
      <c r="B60" s="199"/>
      <c r="C60" s="95" t="s">
        <v>3</v>
      </c>
      <c r="D60" s="128"/>
      <c r="E60" s="73"/>
      <c r="F60" s="73"/>
      <c r="G60" s="73"/>
      <c r="H60" s="128"/>
      <c r="I60" s="73"/>
      <c r="J60" s="73"/>
      <c r="K60" s="73"/>
      <c r="L60" s="128"/>
      <c r="M60" s="73"/>
      <c r="N60" s="73"/>
      <c r="O60" s="73"/>
      <c r="P60" s="128"/>
      <c r="Q60" s="73"/>
      <c r="R60" s="73"/>
      <c r="S60" s="73"/>
      <c r="T60" s="128"/>
      <c r="U60" s="73"/>
      <c r="V60" s="73"/>
      <c r="W60" s="73"/>
      <c r="X60" s="128"/>
      <c r="Y60" s="73"/>
      <c r="Z60" s="73"/>
      <c r="AA60" s="73"/>
      <c r="AB60" s="128"/>
      <c r="AC60" s="73"/>
      <c r="AD60" s="73"/>
      <c r="AE60" s="173"/>
      <c r="AF60" s="36"/>
      <c r="AG60" s="18"/>
      <c r="AH60" s="72" t="str">
        <f ca="1">IF(COUNTA(D60),OFFSET($C60:D84,0,0,1,1),"")</f>
        <v/>
      </c>
      <c r="AI60" s="72" t="str">
        <f ca="1">IF(COUNTA(E60),OFFSET($C60:E84,0,0,1,1),"")</f>
        <v/>
      </c>
      <c r="AJ60" s="141" t="str">
        <f ca="1">IF(COUNTA(F60),OFFSET($C60:F84,0,0,1,1),"")</f>
        <v/>
      </c>
      <c r="AK60" s="141" t="str">
        <f ca="1">IF(COUNTA(G60),OFFSET($C60:G84,0,0,1,1),"")</f>
        <v/>
      </c>
      <c r="AL60" s="72" t="str">
        <f ca="1">IF(COUNTA(H60),OFFSET($C60:H84,0,0,1,1),"")</f>
        <v/>
      </c>
      <c r="AM60" s="72" t="str">
        <f ca="1">IF(COUNTA(I60),OFFSET($C60:I84,0,0,1,1),"")</f>
        <v/>
      </c>
      <c r="AN60" s="141" t="str">
        <f ca="1">IF(COUNTA(J60),OFFSET($C60:J84,0,0,1,1),"")</f>
        <v/>
      </c>
      <c r="AO60" s="141" t="str">
        <f ca="1">IF(COUNTA(K60),OFFSET($C60:K84,0,0,1,1),"")</f>
        <v/>
      </c>
      <c r="AP60" s="72" t="str">
        <f ca="1">IF(COUNTA(L60),OFFSET($C60:L84,0,0,1,1),"")</f>
        <v/>
      </c>
      <c r="AQ60" s="72" t="str">
        <f ca="1">IF(COUNTA(M60),OFFSET($C60:M84,0,0,1,1),"")</f>
        <v/>
      </c>
      <c r="AR60" s="141" t="str">
        <f ca="1">IF(COUNTA(N60),OFFSET($C60:N84,0,0,1,1),"")</f>
        <v/>
      </c>
      <c r="AS60" s="141" t="str">
        <f ca="1">IF(COUNTA(O60),OFFSET($C60:O84,0,0,1,1),"")</f>
        <v/>
      </c>
      <c r="AT60" s="72" t="str">
        <f ca="1">IF(COUNTA(P60),OFFSET($C60:P84,0,0,1,1),"")</f>
        <v/>
      </c>
      <c r="AU60" s="72" t="str">
        <f ca="1">IF(COUNTA(Q60),OFFSET($C60:Q84,0,0,1,1),"")</f>
        <v/>
      </c>
      <c r="AV60" s="141" t="str">
        <f ca="1">IF(COUNTA(R60),OFFSET($C60:R84,0,0,1,1),"")</f>
        <v/>
      </c>
      <c r="AW60" s="141" t="str">
        <f ca="1">IF(COUNTA(S60),OFFSET($C60:S84,0,0,1,1),"")</f>
        <v/>
      </c>
      <c r="AX60" s="72" t="str">
        <f ca="1">IF(COUNTA(T60),OFFSET($C60:T84,0,0,1,1),"")</f>
        <v/>
      </c>
      <c r="AY60" s="72" t="str">
        <f ca="1">IF(COUNTA(U60),OFFSET($C60:U84,0,0,1,1),"")</f>
        <v/>
      </c>
      <c r="AZ60" s="141" t="str">
        <f ca="1">IF(COUNTA(V60),OFFSET($C60:V84,0,0,1,1),"")</f>
        <v/>
      </c>
      <c r="BA60" s="141" t="str">
        <f ca="1">IF(COUNTA(W60),OFFSET($C60:W84,0,0,1,1),"")</f>
        <v/>
      </c>
      <c r="BB60" s="72" t="str">
        <f ca="1">IF(COUNTA(X60),OFFSET($C60:X84,0,0,1,1),"")</f>
        <v/>
      </c>
      <c r="BC60" s="72" t="str">
        <f ca="1">IF(COUNTA(Y60),OFFSET($C60:Y84,0,0,1,1),"")</f>
        <v/>
      </c>
      <c r="BD60" s="141" t="str">
        <f ca="1">IF(COUNTA(Z60),OFFSET($C60:Z84,0,0,1,1),"")</f>
        <v/>
      </c>
      <c r="BE60" s="141" t="str">
        <f ca="1">IF(COUNTA(AA60),OFFSET($C60:AA84,0,0,1,1),"")</f>
        <v/>
      </c>
      <c r="BF60" s="72" t="str">
        <f ca="1">IF(COUNTA(AB60),OFFSET($C60:AB84,0,0,1,1),"")</f>
        <v/>
      </c>
      <c r="BG60" s="72" t="str">
        <f ca="1">IF(COUNTA(AC60),OFFSET($C60:AC84,0,0,1,1),"")</f>
        <v/>
      </c>
      <c r="BH60" s="141" t="str">
        <f ca="1">IF(COUNTA(AD60),OFFSET($C60:AD84,0,0,1,1),"")</f>
        <v/>
      </c>
      <c r="BI60" s="141" t="str">
        <f ca="1">IF(COUNTA(AE60),OFFSET($C60:AE84,0,0,1,1),"")</f>
        <v/>
      </c>
    </row>
    <row r="61" spans="1:61" s="15" customFormat="1" ht="18.45" hidden="1" customHeight="1" x14ac:dyDescent="0.15">
      <c r="A61" s="199"/>
      <c r="B61" s="199"/>
      <c r="C61" s="95" t="s">
        <v>3</v>
      </c>
      <c r="D61" s="128"/>
      <c r="E61" s="73"/>
      <c r="F61" s="73"/>
      <c r="G61" s="73"/>
      <c r="H61" s="128"/>
      <c r="I61" s="73"/>
      <c r="J61" s="73"/>
      <c r="K61" s="73"/>
      <c r="L61" s="128"/>
      <c r="M61" s="73"/>
      <c r="N61" s="73"/>
      <c r="O61" s="73"/>
      <c r="P61" s="128"/>
      <c r="Q61" s="73"/>
      <c r="R61" s="73"/>
      <c r="S61" s="73"/>
      <c r="T61" s="128"/>
      <c r="U61" s="73"/>
      <c r="V61" s="73"/>
      <c r="W61" s="73"/>
      <c r="X61" s="128"/>
      <c r="Y61" s="73"/>
      <c r="Z61" s="73"/>
      <c r="AA61" s="73"/>
      <c r="AB61" s="128"/>
      <c r="AC61" s="73"/>
      <c r="AD61" s="73"/>
      <c r="AE61" s="173"/>
      <c r="AF61" s="36"/>
      <c r="AG61" s="18"/>
      <c r="AH61" s="72" t="str">
        <f ca="1">IF(COUNTA(D61),OFFSET($C61:D85,0,0,1,1),"")</f>
        <v/>
      </c>
      <c r="AI61" s="72" t="str">
        <f ca="1">IF(COUNTA(E61),OFFSET($C61:E85,0,0,1,1),"")</f>
        <v/>
      </c>
      <c r="AJ61" s="141" t="str">
        <f ca="1">IF(COUNTA(F61),OFFSET($C61:F85,0,0,1,1),"")</f>
        <v/>
      </c>
      <c r="AK61" s="141" t="str">
        <f ca="1">IF(COUNTA(G61),OFFSET($C61:G85,0,0,1,1),"")</f>
        <v/>
      </c>
      <c r="AL61" s="72" t="str">
        <f ca="1">IF(COUNTA(H61),OFFSET($C61:H85,0,0,1,1),"")</f>
        <v/>
      </c>
      <c r="AM61" s="72" t="str">
        <f ca="1">IF(COUNTA(I61),OFFSET($C61:I85,0,0,1,1),"")</f>
        <v/>
      </c>
      <c r="AN61" s="141" t="str">
        <f ca="1">IF(COUNTA(J61),OFFSET($C61:J85,0,0,1,1),"")</f>
        <v/>
      </c>
      <c r="AO61" s="141" t="str">
        <f ca="1">IF(COUNTA(K61),OFFSET($C61:K85,0,0,1,1),"")</f>
        <v/>
      </c>
      <c r="AP61" s="72" t="str">
        <f ca="1">IF(COUNTA(L61),OFFSET($C61:L85,0,0,1,1),"")</f>
        <v/>
      </c>
      <c r="AQ61" s="72" t="str">
        <f ca="1">IF(COUNTA(M61),OFFSET($C61:M85,0,0,1,1),"")</f>
        <v/>
      </c>
      <c r="AR61" s="141" t="str">
        <f ca="1">IF(COUNTA(N61),OFFSET($C61:N85,0,0,1,1),"")</f>
        <v/>
      </c>
      <c r="AS61" s="141" t="str">
        <f ca="1">IF(COUNTA(O61),OFFSET($C61:O85,0,0,1,1),"")</f>
        <v/>
      </c>
      <c r="AT61" s="72" t="str">
        <f ca="1">IF(COUNTA(P61),OFFSET($C61:P85,0,0,1,1),"")</f>
        <v/>
      </c>
      <c r="AU61" s="72" t="str">
        <f ca="1">IF(COUNTA(Q61),OFFSET($C61:Q85,0,0,1,1),"")</f>
        <v/>
      </c>
      <c r="AV61" s="141" t="str">
        <f ca="1">IF(COUNTA(R61),OFFSET($C61:R85,0,0,1,1),"")</f>
        <v/>
      </c>
      <c r="AW61" s="141" t="str">
        <f ca="1">IF(COUNTA(S61),OFFSET($C61:S85,0,0,1,1),"")</f>
        <v/>
      </c>
      <c r="AX61" s="72" t="str">
        <f ca="1">IF(COUNTA(T61),OFFSET($C61:T85,0,0,1,1),"")</f>
        <v/>
      </c>
      <c r="AY61" s="72" t="str">
        <f ca="1">IF(COUNTA(U61),OFFSET($C61:U85,0,0,1,1),"")</f>
        <v/>
      </c>
      <c r="AZ61" s="141" t="str">
        <f ca="1">IF(COUNTA(V61),OFFSET($C61:V85,0,0,1,1),"")</f>
        <v/>
      </c>
      <c r="BA61" s="141" t="str">
        <f ca="1">IF(COUNTA(W61),OFFSET($C61:W85,0,0,1,1),"")</f>
        <v/>
      </c>
      <c r="BB61" s="72" t="str">
        <f ca="1">IF(COUNTA(X61),OFFSET($C61:X85,0,0,1,1),"")</f>
        <v/>
      </c>
      <c r="BC61" s="72" t="str">
        <f ca="1">IF(COUNTA(Y61),OFFSET($C61:Y85,0,0,1,1),"")</f>
        <v/>
      </c>
      <c r="BD61" s="141" t="str">
        <f ca="1">IF(COUNTA(Z61),OFFSET($C61:Z85,0,0,1,1),"")</f>
        <v/>
      </c>
      <c r="BE61" s="141" t="str">
        <f ca="1">IF(COUNTA(AA61),OFFSET($C61:AA85,0,0,1,1),"")</f>
        <v/>
      </c>
      <c r="BF61" s="72" t="str">
        <f ca="1">IF(COUNTA(AB61),OFFSET($C61:AB85,0,0,1,1),"")</f>
        <v/>
      </c>
      <c r="BG61" s="72" t="str">
        <f ca="1">IF(COUNTA(AC61),OFFSET($C61:AC85,0,0,1,1),"")</f>
        <v/>
      </c>
      <c r="BH61" s="141" t="str">
        <f ca="1">IF(COUNTA(AD61),OFFSET($C61:AD85,0,0,1,1),"")</f>
        <v/>
      </c>
      <c r="BI61" s="141" t="str">
        <f ca="1">IF(COUNTA(AE61),OFFSET($C61:AE85,0,0,1,1),"")</f>
        <v/>
      </c>
    </row>
    <row r="62" spans="1:61" s="15" customFormat="1" ht="18.45" hidden="1" customHeight="1" x14ac:dyDescent="0.15">
      <c r="A62" s="199"/>
      <c r="B62" s="199"/>
      <c r="C62" s="95" t="s">
        <v>3</v>
      </c>
      <c r="D62" s="128"/>
      <c r="E62" s="73"/>
      <c r="F62" s="73"/>
      <c r="G62" s="73"/>
      <c r="H62" s="128"/>
      <c r="I62" s="73"/>
      <c r="J62" s="73"/>
      <c r="K62" s="73"/>
      <c r="L62" s="128"/>
      <c r="M62" s="73"/>
      <c r="N62" s="73"/>
      <c r="O62" s="73"/>
      <c r="P62" s="128"/>
      <c r="Q62" s="73"/>
      <c r="R62" s="73"/>
      <c r="S62" s="73"/>
      <c r="T62" s="128"/>
      <c r="U62" s="73"/>
      <c r="V62" s="73"/>
      <c r="W62" s="73"/>
      <c r="X62" s="128"/>
      <c r="Y62" s="73"/>
      <c r="Z62" s="73"/>
      <c r="AA62" s="73"/>
      <c r="AB62" s="128"/>
      <c r="AC62" s="73"/>
      <c r="AD62" s="73"/>
      <c r="AE62" s="173"/>
      <c r="AF62" s="36"/>
      <c r="AG62" s="18"/>
      <c r="AH62" s="72" t="str">
        <f ca="1">IF(COUNTA(D62),OFFSET($C62:D91,0,0,1,1),"")</f>
        <v/>
      </c>
      <c r="AI62" s="72" t="str">
        <f ca="1">IF(COUNTA(E62),OFFSET($C62:E91,0,0,1,1),"")</f>
        <v/>
      </c>
      <c r="AJ62" s="141" t="str">
        <f ca="1">IF(COUNTA(F62),OFFSET($C62:F91,0,0,1,1),"")</f>
        <v/>
      </c>
      <c r="AK62" s="141" t="str">
        <f ca="1">IF(COUNTA(G62),OFFSET($C62:G91,0,0,1,1),"")</f>
        <v/>
      </c>
      <c r="AL62" s="72" t="str">
        <f ca="1">IF(COUNTA(H62),OFFSET($C62:H91,0,0,1,1),"")</f>
        <v/>
      </c>
      <c r="AM62" s="72" t="str">
        <f ca="1">IF(COUNTA(I62),OFFSET($C62:I91,0,0,1,1),"")</f>
        <v/>
      </c>
      <c r="AN62" s="141" t="str">
        <f ca="1">IF(COUNTA(J62),OFFSET($C62:J91,0,0,1,1),"")</f>
        <v/>
      </c>
      <c r="AO62" s="141" t="str">
        <f ca="1">IF(COUNTA(K62),OFFSET($C62:K91,0,0,1,1),"")</f>
        <v/>
      </c>
      <c r="AP62" s="72" t="str">
        <f ca="1">IF(COUNTA(L62),OFFSET($C62:L91,0,0,1,1),"")</f>
        <v/>
      </c>
      <c r="AQ62" s="72" t="str">
        <f ca="1">IF(COUNTA(M62),OFFSET($C62:M91,0,0,1,1),"")</f>
        <v/>
      </c>
      <c r="AR62" s="141" t="str">
        <f ca="1">IF(COUNTA(N62),OFFSET($C62:N91,0,0,1,1),"")</f>
        <v/>
      </c>
      <c r="AS62" s="141" t="str">
        <f ca="1">IF(COUNTA(O62),OFFSET($C62:O91,0,0,1,1),"")</f>
        <v/>
      </c>
      <c r="AT62" s="72" t="str">
        <f ca="1">IF(COUNTA(P62),OFFSET($C62:P91,0,0,1,1),"")</f>
        <v/>
      </c>
      <c r="AU62" s="72" t="str">
        <f ca="1">IF(COUNTA(Q62),OFFSET($C62:Q91,0,0,1,1),"")</f>
        <v/>
      </c>
      <c r="AV62" s="141" t="str">
        <f ca="1">IF(COUNTA(R62),OFFSET($C62:R91,0,0,1,1),"")</f>
        <v/>
      </c>
      <c r="AW62" s="141" t="str">
        <f ca="1">IF(COUNTA(S62),OFFSET($C62:S91,0,0,1,1),"")</f>
        <v/>
      </c>
      <c r="AX62" s="72" t="str">
        <f ca="1">IF(COUNTA(T62),OFFSET($C62:T91,0,0,1,1),"")</f>
        <v/>
      </c>
      <c r="AY62" s="72" t="str">
        <f ca="1">IF(COUNTA(U62),OFFSET($C62:U91,0,0,1,1),"")</f>
        <v/>
      </c>
      <c r="AZ62" s="141" t="str">
        <f ca="1">IF(COUNTA(V62),OFFSET($C62:V91,0,0,1,1),"")</f>
        <v/>
      </c>
      <c r="BA62" s="141" t="str">
        <f ca="1">IF(COUNTA(W62),OFFSET($C62:W91,0,0,1,1),"")</f>
        <v/>
      </c>
      <c r="BB62" s="72" t="str">
        <f ca="1">IF(COUNTA(X62),OFFSET($C62:X91,0,0,1,1),"")</f>
        <v/>
      </c>
      <c r="BC62" s="72" t="str">
        <f ca="1">IF(COUNTA(Y62),OFFSET($C62:Y91,0,0,1,1),"")</f>
        <v/>
      </c>
      <c r="BD62" s="141" t="str">
        <f ca="1">IF(COUNTA(Z62),OFFSET($C62:Z91,0,0,1,1),"")</f>
        <v/>
      </c>
      <c r="BE62" s="141" t="str">
        <f ca="1">IF(COUNTA(AA62),OFFSET($C62:AA91,0,0,1,1),"")</f>
        <v/>
      </c>
      <c r="BF62" s="72" t="str">
        <f ca="1">IF(COUNTA(AB62),OFFSET($C62:AB91,0,0,1,1),"")</f>
        <v/>
      </c>
      <c r="BG62" s="72" t="str">
        <f ca="1">IF(COUNTA(AC62),OFFSET($C62:AC91,0,0,1,1),"")</f>
        <v/>
      </c>
      <c r="BH62" s="141" t="str">
        <f ca="1">IF(COUNTA(AD62),OFFSET($C62:AD91,0,0,1,1),"")</f>
        <v/>
      </c>
      <c r="BI62" s="141" t="str">
        <f ca="1">IF(COUNTA(AE62),OFFSET($C62:AE91,0,0,1,1),"")</f>
        <v/>
      </c>
    </row>
    <row r="63" spans="1:61" s="15" customFormat="1" ht="18.45" hidden="1" customHeight="1" x14ac:dyDescent="0.15">
      <c r="A63" s="199"/>
      <c r="B63" s="199"/>
      <c r="C63" s="95" t="s">
        <v>3</v>
      </c>
      <c r="D63" s="128"/>
      <c r="E63" s="73"/>
      <c r="F63" s="73"/>
      <c r="G63" s="73"/>
      <c r="H63" s="128"/>
      <c r="I63" s="73"/>
      <c r="J63" s="73"/>
      <c r="K63" s="73"/>
      <c r="L63" s="128"/>
      <c r="M63" s="73"/>
      <c r="N63" s="73"/>
      <c r="O63" s="73"/>
      <c r="P63" s="128"/>
      <c r="Q63" s="73"/>
      <c r="R63" s="73"/>
      <c r="S63" s="73"/>
      <c r="T63" s="128"/>
      <c r="U63" s="73"/>
      <c r="V63" s="73"/>
      <c r="W63" s="73"/>
      <c r="X63" s="128"/>
      <c r="Y63" s="73"/>
      <c r="Z63" s="73"/>
      <c r="AA63" s="73"/>
      <c r="AB63" s="128"/>
      <c r="AC63" s="73"/>
      <c r="AD63" s="73"/>
      <c r="AE63" s="173"/>
      <c r="AF63" s="36"/>
      <c r="AG63" s="18"/>
      <c r="AH63" s="72" t="str">
        <f ca="1">IF(COUNTA(D63),OFFSET($C63:D92,0,0,1,1),"")</f>
        <v/>
      </c>
      <c r="AI63" s="72" t="str">
        <f ca="1">IF(COUNTA(E63),OFFSET($C63:E92,0,0,1,1),"")</f>
        <v/>
      </c>
      <c r="AJ63" s="141" t="str">
        <f ca="1">IF(COUNTA(F63),OFFSET($C63:F92,0,0,1,1),"")</f>
        <v/>
      </c>
      <c r="AK63" s="141" t="str">
        <f ca="1">IF(COUNTA(G63),OFFSET($C63:G92,0,0,1,1),"")</f>
        <v/>
      </c>
      <c r="AL63" s="72" t="str">
        <f ca="1">IF(COUNTA(H63),OFFSET($C63:H92,0,0,1,1),"")</f>
        <v/>
      </c>
      <c r="AM63" s="72" t="str">
        <f ca="1">IF(COUNTA(I63),OFFSET($C63:I92,0,0,1,1),"")</f>
        <v/>
      </c>
      <c r="AN63" s="141" t="str">
        <f ca="1">IF(COUNTA(J63),OFFSET($C63:J92,0,0,1,1),"")</f>
        <v/>
      </c>
      <c r="AO63" s="141" t="str">
        <f ca="1">IF(COUNTA(K63),OFFSET($C63:K92,0,0,1,1),"")</f>
        <v/>
      </c>
      <c r="AP63" s="72" t="str">
        <f ca="1">IF(COUNTA(L63),OFFSET($C63:L92,0,0,1,1),"")</f>
        <v/>
      </c>
      <c r="AQ63" s="72" t="str">
        <f ca="1">IF(COUNTA(M63),OFFSET($C63:M92,0,0,1,1),"")</f>
        <v/>
      </c>
      <c r="AR63" s="141" t="str">
        <f ca="1">IF(COUNTA(N63),OFFSET($C63:N92,0,0,1,1),"")</f>
        <v/>
      </c>
      <c r="AS63" s="141" t="str">
        <f ca="1">IF(COUNTA(O63),OFFSET($C63:O92,0,0,1,1),"")</f>
        <v/>
      </c>
      <c r="AT63" s="72" t="str">
        <f ca="1">IF(COUNTA(P63),OFFSET($C63:P92,0,0,1,1),"")</f>
        <v/>
      </c>
      <c r="AU63" s="72" t="str">
        <f ca="1">IF(COUNTA(Q63),OFFSET($C63:Q92,0,0,1,1),"")</f>
        <v/>
      </c>
      <c r="AV63" s="141" t="str">
        <f ca="1">IF(COUNTA(R63),OFFSET($C63:R92,0,0,1,1),"")</f>
        <v/>
      </c>
      <c r="AW63" s="141" t="str">
        <f ca="1">IF(COUNTA(S63),OFFSET($C63:S92,0,0,1,1),"")</f>
        <v/>
      </c>
      <c r="AX63" s="72" t="str">
        <f ca="1">IF(COUNTA(T63),OFFSET($C63:T92,0,0,1,1),"")</f>
        <v/>
      </c>
      <c r="AY63" s="72" t="str">
        <f ca="1">IF(COUNTA(U63),OFFSET($C63:U92,0,0,1,1),"")</f>
        <v/>
      </c>
      <c r="AZ63" s="141" t="str">
        <f ca="1">IF(COUNTA(V63),OFFSET($C63:V92,0,0,1,1),"")</f>
        <v/>
      </c>
      <c r="BA63" s="141" t="str">
        <f ca="1">IF(COUNTA(W63),OFFSET($C63:W92,0,0,1,1),"")</f>
        <v/>
      </c>
      <c r="BB63" s="72" t="str">
        <f ca="1">IF(COUNTA(X63),OFFSET($C63:X92,0,0,1,1),"")</f>
        <v/>
      </c>
      <c r="BC63" s="72" t="str">
        <f ca="1">IF(COUNTA(Y63),OFFSET($C63:Y92,0,0,1,1),"")</f>
        <v/>
      </c>
      <c r="BD63" s="141" t="str">
        <f ca="1">IF(COUNTA(Z63),OFFSET($C63:Z92,0,0,1,1),"")</f>
        <v/>
      </c>
      <c r="BE63" s="141" t="str">
        <f ca="1">IF(COUNTA(AA63),OFFSET($C63:AA92,0,0,1,1),"")</f>
        <v/>
      </c>
      <c r="BF63" s="72" t="str">
        <f ca="1">IF(COUNTA(AB63),OFFSET($C63:AB92,0,0,1,1),"")</f>
        <v/>
      </c>
      <c r="BG63" s="72" t="str">
        <f ca="1">IF(COUNTA(AC63),OFFSET($C63:AC92,0,0,1,1),"")</f>
        <v/>
      </c>
      <c r="BH63" s="141" t="str">
        <f ca="1">IF(COUNTA(AD63),OFFSET($C63:AD92,0,0,1,1),"")</f>
        <v/>
      </c>
      <c r="BI63" s="141" t="str">
        <f ca="1">IF(COUNTA(AE63),OFFSET($C63:AE92,0,0,1,1),"")</f>
        <v/>
      </c>
    </row>
    <row r="64" spans="1:61" s="15" customFormat="1" ht="18.45" hidden="1" customHeight="1" x14ac:dyDescent="0.15">
      <c r="A64" s="199"/>
      <c r="B64" s="199"/>
      <c r="C64" s="96" t="s">
        <v>3</v>
      </c>
      <c r="D64" s="129"/>
      <c r="E64" s="75"/>
      <c r="F64" s="75"/>
      <c r="G64" s="75"/>
      <c r="H64" s="129"/>
      <c r="I64" s="75"/>
      <c r="J64" s="75"/>
      <c r="K64" s="75"/>
      <c r="L64" s="129"/>
      <c r="M64" s="75"/>
      <c r="N64" s="75"/>
      <c r="O64" s="75"/>
      <c r="P64" s="129"/>
      <c r="Q64" s="75"/>
      <c r="R64" s="75"/>
      <c r="S64" s="75"/>
      <c r="T64" s="129"/>
      <c r="U64" s="75"/>
      <c r="V64" s="75"/>
      <c r="W64" s="75"/>
      <c r="X64" s="129"/>
      <c r="Y64" s="75"/>
      <c r="Z64" s="75"/>
      <c r="AA64" s="75"/>
      <c r="AB64" s="129"/>
      <c r="AC64" s="75"/>
      <c r="AD64" s="75"/>
      <c r="AE64" s="174"/>
      <c r="AF64" s="36"/>
      <c r="AG64" s="18"/>
      <c r="AH64" s="74" t="str">
        <f ca="1">IF(COUNTA(D64),OFFSET($C64:D73,0,0,1,1),"")</f>
        <v/>
      </c>
      <c r="AI64" s="74" t="str">
        <f ca="1">IF(COUNTA(E64),OFFSET($C64:E73,0,0,1,1),"")</f>
        <v/>
      </c>
      <c r="AJ64" s="142" t="str">
        <f ca="1">IF(COUNTA(F64),OFFSET($C64:F73,0,0,1,1),"")</f>
        <v/>
      </c>
      <c r="AK64" s="142" t="str">
        <f ca="1">IF(COUNTA(G64),OFFSET($C64:G73,0,0,1,1),"")</f>
        <v/>
      </c>
      <c r="AL64" s="74" t="str">
        <f ca="1">IF(COUNTA(H64),OFFSET($C64:H73,0,0,1,1),"")</f>
        <v/>
      </c>
      <c r="AM64" s="74" t="str">
        <f ca="1">IF(COUNTA(I64),OFFSET($C64:I73,0,0,1,1),"")</f>
        <v/>
      </c>
      <c r="AN64" s="142" t="str">
        <f ca="1">IF(COUNTA(J64),OFFSET($C64:J73,0,0,1,1),"")</f>
        <v/>
      </c>
      <c r="AO64" s="142" t="str">
        <f ca="1">IF(COUNTA(K64),OFFSET($C64:K73,0,0,1,1),"")</f>
        <v/>
      </c>
      <c r="AP64" s="74" t="str">
        <f ca="1">IF(COUNTA(L64),OFFSET($C64:L73,0,0,1,1),"")</f>
        <v/>
      </c>
      <c r="AQ64" s="74" t="str">
        <f ca="1">IF(COUNTA(M64),OFFSET($C64:M73,0,0,1,1),"")</f>
        <v/>
      </c>
      <c r="AR64" s="142" t="str">
        <f ca="1">IF(COUNTA(N64),OFFSET($C64:N73,0,0,1,1),"")</f>
        <v/>
      </c>
      <c r="AS64" s="142" t="str">
        <f ca="1">IF(COUNTA(O64),OFFSET($C64:O73,0,0,1,1),"")</f>
        <v/>
      </c>
      <c r="AT64" s="74" t="str">
        <f ca="1">IF(COUNTA(P64),OFFSET($C64:P73,0,0,1,1),"")</f>
        <v/>
      </c>
      <c r="AU64" s="74" t="str">
        <f ca="1">IF(COUNTA(Q64),OFFSET($C64:Q73,0,0,1,1),"")</f>
        <v/>
      </c>
      <c r="AV64" s="142" t="str">
        <f ca="1">IF(COUNTA(R64),OFFSET($C64:R73,0,0,1,1),"")</f>
        <v/>
      </c>
      <c r="AW64" s="142" t="str">
        <f ca="1">IF(COUNTA(S64),OFFSET($C64:S73,0,0,1,1),"")</f>
        <v/>
      </c>
      <c r="AX64" s="74" t="str">
        <f ca="1">IF(COUNTA(T64),OFFSET($C64:T73,0,0,1,1),"")</f>
        <v/>
      </c>
      <c r="AY64" s="74" t="str">
        <f ca="1">IF(COUNTA(U64),OFFSET($C64:U73,0,0,1,1),"")</f>
        <v/>
      </c>
      <c r="AZ64" s="142" t="str">
        <f ca="1">IF(COUNTA(V64),OFFSET($C64:V73,0,0,1,1),"")</f>
        <v/>
      </c>
      <c r="BA64" s="142" t="str">
        <f ca="1">IF(COUNTA(W64),OFFSET($C64:W73,0,0,1,1),"")</f>
        <v/>
      </c>
      <c r="BB64" s="74" t="str">
        <f ca="1">IF(COUNTA(X64),OFFSET($C64:X73,0,0,1,1),"")</f>
        <v/>
      </c>
      <c r="BC64" s="74" t="str">
        <f ca="1">IF(COUNTA(Y64),OFFSET($C64:Y73,0,0,1,1),"")</f>
        <v/>
      </c>
      <c r="BD64" s="142" t="str">
        <f ca="1">IF(COUNTA(Z64),OFFSET($C64:Z73,0,0,1,1),"")</f>
        <v/>
      </c>
      <c r="BE64" s="142" t="str">
        <f ca="1">IF(COUNTA(AA64),OFFSET($C64:AA73,0,0,1,1),"")</f>
        <v/>
      </c>
      <c r="BF64" s="74" t="str">
        <f ca="1">IF(COUNTA(AB64),OFFSET($C64:AB73,0,0,1,1),"")</f>
        <v/>
      </c>
      <c r="BG64" s="74" t="str">
        <f ca="1">IF(COUNTA(AC64),OFFSET($C64:AC73,0,0,1,1),"")</f>
        <v/>
      </c>
      <c r="BH64" s="142" t="str">
        <f ca="1">IF(COUNTA(AD64),OFFSET($C64:AD73,0,0,1,1),"")</f>
        <v/>
      </c>
      <c r="BI64" s="142" t="str">
        <f ca="1">IF(COUNTA(AE64),OFFSET($C64:AE73,0,0,1,1),"")</f>
        <v/>
      </c>
    </row>
    <row r="65" spans="1:61" s="15" customFormat="1" ht="18.45" customHeight="1" x14ac:dyDescent="0.15">
      <c r="A65" s="199"/>
      <c r="B65" s="198" t="s">
        <v>35</v>
      </c>
      <c r="C65" s="94" t="s">
        <v>35</v>
      </c>
      <c r="D65" s="127"/>
      <c r="E65" s="71"/>
      <c r="F65" s="71"/>
      <c r="G65" s="71"/>
      <c r="H65" s="127"/>
      <c r="I65" s="71"/>
      <c r="J65" s="71"/>
      <c r="K65" s="71"/>
      <c r="L65" s="127"/>
      <c r="M65" s="71"/>
      <c r="N65" s="71"/>
      <c r="O65" s="71"/>
      <c r="P65" s="127"/>
      <c r="Q65" s="71"/>
      <c r="R65" s="71"/>
      <c r="S65" s="71"/>
      <c r="T65" s="127"/>
      <c r="U65" s="71"/>
      <c r="V65" s="71"/>
      <c r="W65" s="71"/>
      <c r="X65" s="127"/>
      <c r="Y65" s="71"/>
      <c r="Z65" s="71"/>
      <c r="AA65" s="71"/>
      <c r="AB65" s="127"/>
      <c r="AC65" s="71"/>
      <c r="AD65" s="71"/>
      <c r="AE65" s="172"/>
      <c r="AF65" s="36"/>
      <c r="AG65" s="18"/>
      <c r="AH65" s="70" t="str">
        <f ca="1">IF(COUNTA(D65),OFFSET($C65:D74,0,0,1,1),"")</f>
        <v/>
      </c>
      <c r="AI65" s="70" t="str">
        <f ca="1">IF(COUNTA(E65),OFFSET($C65:E74,0,0,1,1),"")</f>
        <v/>
      </c>
      <c r="AJ65" s="140" t="str">
        <f ca="1">IF(COUNTA(F65),OFFSET($C65:F74,0,0,1,1),"")</f>
        <v/>
      </c>
      <c r="AK65" s="140" t="str">
        <f ca="1">IF(COUNTA(G65),OFFSET($C65:G74,0,0,1,1),"")</f>
        <v/>
      </c>
      <c r="AL65" s="70" t="str">
        <f ca="1">IF(COUNTA(H65),OFFSET($C65:H74,0,0,1,1),"")</f>
        <v/>
      </c>
      <c r="AM65" s="70" t="str">
        <f ca="1">IF(COUNTA(I65),OFFSET($C65:I74,0,0,1,1),"")</f>
        <v/>
      </c>
      <c r="AN65" s="140" t="str">
        <f ca="1">IF(COUNTA(J65),OFFSET($C65:J74,0,0,1,1),"")</f>
        <v/>
      </c>
      <c r="AO65" s="140" t="str">
        <f ca="1">IF(COUNTA(K65),OFFSET($C65:K74,0,0,1,1),"")</f>
        <v/>
      </c>
      <c r="AP65" s="70" t="str">
        <f ca="1">IF(COUNTA(L65),OFFSET($C65:L74,0,0,1,1),"")</f>
        <v/>
      </c>
      <c r="AQ65" s="70" t="str">
        <f ca="1">IF(COUNTA(M65),OFFSET($C65:M74,0,0,1,1),"")</f>
        <v/>
      </c>
      <c r="AR65" s="140" t="str">
        <f ca="1">IF(COUNTA(N65),OFFSET($C65:N74,0,0,1,1),"")</f>
        <v/>
      </c>
      <c r="AS65" s="140" t="str">
        <f ca="1">IF(COUNTA(O65),OFFSET($C65:O74,0,0,1,1),"")</f>
        <v/>
      </c>
      <c r="AT65" s="70" t="str">
        <f ca="1">IF(COUNTA(P65),OFFSET($C65:P74,0,0,1,1),"")</f>
        <v/>
      </c>
      <c r="AU65" s="70" t="str">
        <f ca="1">IF(COUNTA(Q65),OFFSET($C65:Q74,0,0,1,1),"")</f>
        <v/>
      </c>
      <c r="AV65" s="140" t="str">
        <f ca="1">IF(COUNTA(R65),OFFSET($C65:R74,0,0,1,1),"")</f>
        <v/>
      </c>
      <c r="AW65" s="140" t="str">
        <f ca="1">IF(COUNTA(S65),OFFSET($C65:S74,0,0,1,1),"")</f>
        <v/>
      </c>
      <c r="AX65" s="70" t="str">
        <f ca="1">IF(COUNTA(T65),OFFSET($C65:T74,0,0,1,1),"")</f>
        <v/>
      </c>
      <c r="AY65" s="70" t="str">
        <f ca="1">IF(COUNTA(U65),OFFSET($C65:U74,0,0,1,1),"")</f>
        <v/>
      </c>
      <c r="AZ65" s="140" t="str">
        <f ca="1">IF(COUNTA(V65),OFFSET($C65:V74,0,0,1,1),"")</f>
        <v/>
      </c>
      <c r="BA65" s="140" t="str">
        <f ca="1">IF(COUNTA(W65),OFFSET($C65:W74,0,0,1,1),"")</f>
        <v/>
      </c>
      <c r="BB65" s="70" t="str">
        <f ca="1">IF(COUNTA(X65),OFFSET($C65:X74,0,0,1,1),"")</f>
        <v/>
      </c>
      <c r="BC65" s="70" t="str">
        <f ca="1">IF(COUNTA(Y65),OFFSET($C65:Y74,0,0,1,1),"")</f>
        <v/>
      </c>
      <c r="BD65" s="140" t="str">
        <f ca="1">IF(COUNTA(Z65),OFFSET($C65:Z74,0,0,1,1),"")</f>
        <v/>
      </c>
      <c r="BE65" s="140" t="str">
        <f ca="1">IF(COUNTA(AA65),OFFSET($C65:AA74,0,0,1,1),"")</f>
        <v/>
      </c>
      <c r="BF65" s="70" t="str">
        <f ca="1">IF(COUNTA(AB65),OFFSET($C65:AB74,0,0,1,1),"")</f>
        <v/>
      </c>
      <c r="BG65" s="70" t="str">
        <f ca="1">IF(COUNTA(AC65),OFFSET($C65:AC74,0,0,1,1),"")</f>
        <v/>
      </c>
      <c r="BH65" s="140" t="str">
        <f ca="1">IF(COUNTA(AD65),OFFSET($C65:AD74,0,0,1,1),"")</f>
        <v/>
      </c>
      <c r="BI65" s="140" t="str">
        <f ca="1">IF(COUNTA(AE65),OFFSET($C65:AE74,0,0,1,1),"")</f>
        <v/>
      </c>
    </row>
    <row r="66" spans="1:61" s="15" customFormat="1" ht="18.45" customHeight="1" x14ac:dyDescent="0.15">
      <c r="A66" s="199"/>
      <c r="B66" s="199"/>
      <c r="C66" s="95" t="s">
        <v>35</v>
      </c>
      <c r="D66" s="130"/>
      <c r="E66" s="77"/>
      <c r="F66" s="77"/>
      <c r="G66" s="77"/>
      <c r="H66" s="130"/>
      <c r="I66" s="77"/>
      <c r="J66" s="77"/>
      <c r="K66" s="77"/>
      <c r="L66" s="130"/>
      <c r="M66" s="77"/>
      <c r="N66" s="77"/>
      <c r="O66" s="77"/>
      <c r="P66" s="130"/>
      <c r="Q66" s="77"/>
      <c r="R66" s="77"/>
      <c r="S66" s="77"/>
      <c r="T66" s="130"/>
      <c r="U66" s="77"/>
      <c r="V66" s="77"/>
      <c r="W66" s="77"/>
      <c r="X66" s="130"/>
      <c r="Y66" s="77"/>
      <c r="Z66" s="77"/>
      <c r="AA66" s="77"/>
      <c r="AB66" s="130"/>
      <c r="AC66" s="77"/>
      <c r="AD66" s="77"/>
      <c r="AE66" s="175"/>
      <c r="AF66" s="36"/>
      <c r="AG66" s="18"/>
      <c r="AH66" s="76" t="str">
        <f ca="1">IF(COUNTA(D66),OFFSET($C66:D75,0,0,1,1),"")</f>
        <v/>
      </c>
      <c r="AI66" s="76" t="str">
        <f ca="1">IF(COUNTA(E66),OFFSET($C66:E75,0,0,1,1),"")</f>
        <v/>
      </c>
      <c r="AJ66" s="143" t="str">
        <f ca="1">IF(COUNTA(F66),OFFSET($C66:F75,0,0,1,1),"")</f>
        <v/>
      </c>
      <c r="AK66" s="143" t="str">
        <f ca="1">IF(COUNTA(G66),OFFSET($C66:G75,0,0,1,1),"")</f>
        <v/>
      </c>
      <c r="AL66" s="76" t="str">
        <f ca="1">IF(COUNTA(H66),OFFSET($C66:H75,0,0,1,1),"")</f>
        <v/>
      </c>
      <c r="AM66" s="76" t="str">
        <f ca="1">IF(COUNTA(I66),OFFSET($C66:I75,0,0,1,1),"")</f>
        <v/>
      </c>
      <c r="AN66" s="143" t="str">
        <f ca="1">IF(COUNTA(J66),OFFSET($C66:J75,0,0,1,1),"")</f>
        <v/>
      </c>
      <c r="AO66" s="143" t="str">
        <f ca="1">IF(COUNTA(K66),OFFSET($C66:K75,0,0,1,1),"")</f>
        <v/>
      </c>
      <c r="AP66" s="76" t="str">
        <f ca="1">IF(COUNTA(L66),OFFSET($C66:L75,0,0,1,1),"")</f>
        <v/>
      </c>
      <c r="AQ66" s="76" t="str">
        <f ca="1">IF(COUNTA(M66),OFFSET($C66:M75,0,0,1,1),"")</f>
        <v/>
      </c>
      <c r="AR66" s="143" t="str">
        <f ca="1">IF(COUNTA(N66),OFFSET($C66:N75,0,0,1,1),"")</f>
        <v/>
      </c>
      <c r="AS66" s="143" t="str">
        <f ca="1">IF(COUNTA(O66),OFFSET($C66:O75,0,0,1,1),"")</f>
        <v/>
      </c>
      <c r="AT66" s="76" t="str">
        <f ca="1">IF(COUNTA(P66),OFFSET($C66:P75,0,0,1,1),"")</f>
        <v/>
      </c>
      <c r="AU66" s="76" t="str">
        <f ca="1">IF(COUNTA(Q66),OFFSET($C66:Q75,0,0,1,1),"")</f>
        <v/>
      </c>
      <c r="AV66" s="143" t="str">
        <f ca="1">IF(COUNTA(R66),OFFSET($C66:R75,0,0,1,1),"")</f>
        <v/>
      </c>
      <c r="AW66" s="143" t="str">
        <f ca="1">IF(COUNTA(S66),OFFSET($C66:S75,0,0,1,1),"")</f>
        <v/>
      </c>
      <c r="AX66" s="76" t="str">
        <f ca="1">IF(COUNTA(T66),OFFSET($C66:T75,0,0,1,1),"")</f>
        <v/>
      </c>
      <c r="AY66" s="76" t="str">
        <f ca="1">IF(COUNTA(U66),OFFSET($C66:U75,0,0,1,1),"")</f>
        <v/>
      </c>
      <c r="AZ66" s="143" t="str">
        <f ca="1">IF(COUNTA(V66),OFFSET($C66:V75,0,0,1,1),"")</f>
        <v/>
      </c>
      <c r="BA66" s="143" t="str">
        <f ca="1">IF(COUNTA(W66),OFFSET($C66:W75,0,0,1,1),"")</f>
        <v/>
      </c>
      <c r="BB66" s="76" t="str">
        <f ca="1">IF(COUNTA(X66),OFFSET($C66:X75,0,0,1,1),"")</f>
        <v/>
      </c>
      <c r="BC66" s="76" t="str">
        <f ca="1">IF(COUNTA(Y66),OFFSET($C66:Y75,0,0,1,1),"")</f>
        <v/>
      </c>
      <c r="BD66" s="143" t="str">
        <f ca="1">IF(COUNTA(Z66),OFFSET($C66:Z75,0,0,1,1),"")</f>
        <v/>
      </c>
      <c r="BE66" s="143" t="str">
        <f ca="1">IF(COUNTA(AA66),OFFSET($C66:AA75,0,0,1,1),"")</f>
        <v/>
      </c>
      <c r="BF66" s="76" t="str">
        <f ca="1">IF(COUNTA(AB66),OFFSET($C66:AB75,0,0,1,1),"")</f>
        <v/>
      </c>
      <c r="BG66" s="76" t="str">
        <f ca="1">IF(COUNTA(AC66),OFFSET($C66:AC75,0,0,1,1),"")</f>
        <v/>
      </c>
      <c r="BH66" s="143" t="str">
        <f ca="1">IF(COUNTA(AD66),OFFSET($C66:AD75,0,0,1,1),"")</f>
        <v/>
      </c>
      <c r="BI66" s="143" t="str">
        <f ca="1">IF(COUNTA(AE66),OFFSET($C66:AE75,0,0,1,1),"")</f>
        <v/>
      </c>
    </row>
    <row r="67" spans="1:61" s="15" customFormat="1" ht="18.45" hidden="1" customHeight="1" x14ac:dyDescent="0.15">
      <c r="A67" s="199"/>
      <c r="B67" s="199"/>
      <c r="C67" s="95" t="s">
        <v>35</v>
      </c>
      <c r="D67" s="130"/>
      <c r="E67" s="77"/>
      <c r="F67" s="77"/>
      <c r="G67" s="77"/>
      <c r="H67" s="130"/>
      <c r="I67" s="77"/>
      <c r="J67" s="77"/>
      <c r="K67" s="77"/>
      <c r="L67" s="130"/>
      <c r="M67" s="77"/>
      <c r="N67" s="77"/>
      <c r="O67" s="77"/>
      <c r="P67" s="130"/>
      <c r="Q67" s="77"/>
      <c r="R67" s="77"/>
      <c r="S67" s="77"/>
      <c r="T67" s="130"/>
      <c r="U67" s="77"/>
      <c r="V67" s="77"/>
      <c r="W67" s="77"/>
      <c r="X67" s="130"/>
      <c r="Y67" s="77"/>
      <c r="Z67" s="77"/>
      <c r="AA67" s="77"/>
      <c r="AB67" s="130"/>
      <c r="AC67" s="77"/>
      <c r="AD67" s="77"/>
      <c r="AE67" s="175"/>
      <c r="AF67" s="36"/>
      <c r="AG67" s="18"/>
      <c r="AH67" s="76" t="str">
        <f ca="1">IF(COUNTA(D67),OFFSET($C67:D76,0,0,1,1),"")</f>
        <v/>
      </c>
      <c r="AI67" s="76" t="str">
        <f ca="1">IF(COUNTA(E67),OFFSET($C67:E76,0,0,1,1),"")</f>
        <v/>
      </c>
      <c r="AJ67" s="143" t="str">
        <f ca="1">IF(COUNTA(F67),OFFSET($C67:F76,0,0,1,1),"")</f>
        <v/>
      </c>
      <c r="AK67" s="143" t="str">
        <f ca="1">IF(COUNTA(G67),OFFSET($C67:G76,0,0,1,1),"")</f>
        <v/>
      </c>
      <c r="AL67" s="76" t="str">
        <f ca="1">IF(COUNTA(H67),OFFSET($C67:H76,0,0,1,1),"")</f>
        <v/>
      </c>
      <c r="AM67" s="76" t="str">
        <f ca="1">IF(COUNTA(I67),OFFSET($C67:I76,0,0,1,1),"")</f>
        <v/>
      </c>
      <c r="AN67" s="143" t="str">
        <f ca="1">IF(COUNTA(J67),OFFSET($C67:J76,0,0,1,1),"")</f>
        <v/>
      </c>
      <c r="AO67" s="143" t="str">
        <f ca="1">IF(COUNTA(K67),OFFSET($C67:K76,0,0,1,1),"")</f>
        <v/>
      </c>
      <c r="AP67" s="76" t="str">
        <f ca="1">IF(COUNTA(L67),OFFSET($C67:L76,0,0,1,1),"")</f>
        <v/>
      </c>
      <c r="AQ67" s="76" t="str">
        <f ca="1">IF(COUNTA(M67),OFFSET($C67:M76,0,0,1,1),"")</f>
        <v/>
      </c>
      <c r="AR67" s="143" t="str">
        <f ca="1">IF(COUNTA(N67),OFFSET($C67:N76,0,0,1,1),"")</f>
        <v/>
      </c>
      <c r="AS67" s="143" t="str">
        <f ca="1">IF(COUNTA(O67),OFFSET($C67:O76,0,0,1,1),"")</f>
        <v/>
      </c>
      <c r="AT67" s="76" t="str">
        <f ca="1">IF(COUNTA(P67),OFFSET($C67:P76,0,0,1,1),"")</f>
        <v/>
      </c>
      <c r="AU67" s="76" t="str">
        <f ca="1">IF(COUNTA(Q67),OFFSET($C67:Q76,0,0,1,1),"")</f>
        <v/>
      </c>
      <c r="AV67" s="143" t="str">
        <f ca="1">IF(COUNTA(R67),OFFSET($C67:R76,0,0,1,1),"")</f>
        <v/>
      </c>
      <c r="AW67" s="143" t="str">
        <f ca="1">IF(COUNTA(S67),OFFSET($C67:S76,0,0,1,1),"")</f>
        <v/>
      </c>
      <c r="AX67" s="76" t="str">
        <f ca="1">IF(COUNTA(T67),OFFSET($C67:T76,0,0,1,1),"")</f>
        <v/>
      </c>
      <c r="AY67" s="76" t="str">
        <f ca="1">IF(COUNTA(U67),OFFSET($C67:U76,0,0,1,1),"")</f>
        <v/>
      </c>
      <c r="AZ67" s="143" t="str">
        <f ca="1">IF(COUNTA(V67),OFFSET($C67:V76,0,0,1,1),"")</f>
        <v/>
      </c>
      <c r="BA67" s="143" t="str">
        <f ca="1">IF(COUNTA(W67),OFFSET($C67:W76,0,0,1,1),"")</f>
        <v/>
      </c>
      <c r="BB67" s="76" t="str">
        <f ca="1">IF(COUNTA(X67),OFFSET($C67:X76,0,0,1,1),"")</f>
        <v/>
      </c>
      <c r="BC67" s="76" t="str">
        <f ca="1">IF(COUNTA(Y67),OFFSET($C67:Y76,0,0,1,1),"")</f>
        <v/>
      </c>
      <c r="BD67" s="143" t="str">
        <f ca="1">IF(COUNTA(Z67),OFFSET($C67:Z76,0,0,1,1),"")</f>
        <v/>
      </c>
      <c r="BE67" s="143" t="str">
        <f ca="1">IF(COUNTA(AA67),OFFSET($C67:AA76,0,0,1,1),"")</f>
        <v/>
      </c>
      <c r="BF67" s="76" t="str">
        <f ca="1">IF(COUNTA(AB67),OFFSET($C67:AB76,0,0,1,1),"")</f>
        <v/>
      </c>
      <c r="BG67" s="76" t="str">
        <f ca="1">IF(COUNTA(AC67),OFFSET($C67:AC76,0,0,1,1),"")</f>
        <v/>
      </c>
      <c r="BH67" s="143" t="str">
        <f ca="1">IF(COUNTA(AD67),OFFSET($C67:AD76,0,0,1,1),"")</f>
        <v/>
      </c>
      <c r="BI67" s="143" t="str">
        <f ca="1">IF(COUNTA(AE67),OFFSET($C67:AE76,0,0,1,1),"")</f>
        <v/>
      </c>
    </row>
    <row r="68" spans="1:61" s="15" customFormat="1" ht="18.45" hidden="1" customHeight="1" x14ac:dyDescent="0.15">
      <c r="A68" s="199"/>
      <c r="B68" s="199"/>
      <c r="C68" s="95" t="s">
        <v>35</v>
      </c>
      <c r="D68" s="130"/>
      <c r="E68" s="77"/>
      <c r="F68" s="77"/>
      <c r="G68" s="77"/>
      <c r="H68" s="130"/>
      <c r="I68" s="77"/>
      <c r="J68" s="77"/>
      <c r="K68" s="77"/>
      <c r="L68" s="130"/>
      <c r="M68" s="77"/>
      <c r="N68" s="77"/>
      <c r="O68" s="77"/>
      <c r="P68" s="130"/>
      <c r="Q68" s="77"/>
      <c r="R68" s="77"/>
      <c r="S68" s="77"/>
      <c r="T68" s="130"/>
      <c r="U68" s="77"/>
      <c r="V68" s="77"/>
      <c r="W68" s="77"/>
      <c r="X68" s="130"/>
      <c r="Y68" s="77"/>
      <c r="Z68" s="77"/>
      <c r="AA68" s="77"/>
      <c r="AB68" s="130"/>
      <c r="AC68" s="77"/>
      <c r="AD68" s="77"/>
      <c r="AE68" s="175"/>
      <c r="AF68" s="36"/>
      <c r="AG68" s="18"/>
      <c r="AH68" s="76" t="str">
        <f ca="1">IF(COUNTA(D68),OFFSET($C68:D77,0,0,1,1),"")</f>
        <v/>
      </c>
      <c r="AI68" s="76" t="str">
        <f ca="1">IF(COUNTA(E68),OFFSET($C68:E77,0,0,1,1),"")</f>
        <v/>
      </c>
      <c r="AJ68" s="143" t="str">
        <f ca="1">IF(COUNTA(F68),OFFSET($C68:F77,0,0,1,1),"")</f>
        <v/>
      </c>
      <c r="AK68" s="143" t="str">
        <f ca="1">IF(COUNTA(G68),OFFSET($C68:G77,0,0,1,1),"")</f>
        <v/>
      </c>
      <c r="AL68" s="76" t="str">
        <f ca="1">IF(COUNTA(H68),OFFSET($C68:H77,0,0,1,1),"")</f>
        <v/>
      </c>
      <c r="AM68" s="76" t="str">
        <f ca="1">IF(COUNTA(I68),OFFSET($C68:I77,0,0,1,1),"")</f>
        <v/>
      </c>
      <c r="AN68" s="143" t="str">
        <f ca="1">IF(COUNTA(J68),OFFSET($C68:J77,0,0,1,1),"")</f>
        <v/>
      </c>
      <c r="AO68" s="143" t="str">
        <f ca="1">IF(COUNTA(K68),OFFSET($C68:K77,0,0,1,1),"")</f>
        <v/>
      </c>
      <c r="AP68" s="76" t="str">
        <f ca="1">IF(COUNTA(L68),OFFSET($C68:L77,0,0,1,1),"")</f>
        <v/>
      </c>
      <c r="AQ68" s="76" t="str">
        <f ca="1">IF(COUNTA(M68),OFFSET($C68:M77,0,0,1,1),"")</f>
        <v/>
      </c>
      <c r="AR68" s="143" t="str">
        <f ca="1">IF(COUNTA(N68),OFFSET($C68:N77,0,0,1,1),"")</f>
        <v/>
      </c>
      <c r="AS68" s="143" t="str">
        <f ca="1">IF(COUNTA(O68),OFFSET($C68:O77,0,0,1,1),"")</f>
        <v/>
      </c>
      <c r="AT68" s="76" t="str">
        <f ca="1">IF(COUNTA(P68),OFFSET($C68:P77,0,0,1,1),"")</f>
        <v/>
      </c>
      <c r="AU68" s="76" t="str">
        <f ca="1">IF(COUNTA(Q68),OFFSET($C68:Q77,0,0,1,1),"")</f>
        <v/>
      </c>
      <c r="AV68" s="143" t="str">
        <f ca="1">IF(COUNTA(R68),OFFSET($C68:R77,0,0,1,1),"")</f>
        <v/>
      </c>
      <c r="AW68" s="143" t="str">
        <f ca="1">IF(COUNTA(S68),OFFSET($C68:S77,0,0,1,1),"")</f>
        <v/>
      </c>
      <c r="AX68" s="76" t="str">
        <f ca="1">IF(COUNTA(T68),OFFSET($C68:T77,0,0,1,1),"")</f>
        <v/>
      </c>
      <c r="AY68" s="76" t="str">
        <f ca="1">IF(COUNTA(U68),OFFSET($C68:U77,0,0,1,1),"")</f>
        <v/>
      </c>
      <c r="AZ68" s="143" t="str">
        <f ca="1">IF(COUNTA(V68),OFFSET($C68:V77,0,0,1,1),"")</f>
        <v/>
      </c>
      <c r="BA68" s="143" t="str">
        <f ca="1">IF(COUNTA(W68),OFFSET($C68:W77,0,0,1,1),"")</f>
        <v/>
      </c>
      <c r="BB68" s="76" t="str">
        <f ca="1">IF(COUNTA(X68),OFFSET($C68:X77,0,0,1,1),"")</f>
        <v/>
      </c>
      <c r="BC68" s="76" t="str">
        <f ca="1">IF(COUNTA(Y68),OFFSET($C68:Y77,0,0,1,1),"")</f>
        <v/>
      </c>
      <c r="BD68" s="143" t="str">
        <f ca="1">IF(COUNTA(Z68),OFFSET($C68:Z77,0,0,1,1),"")</f>
        <v/>
      </c>
      <c r="BE68" s="143" t="str">
        <f ca="1">IF(COUNTA(AA68),OFFSET($C68:AA77,0,0,1,1),"")</f>
        <v/>
      </c>
      <c r="BF68" s="76" t="str">
        <f ca="1">IF(COUNTA(AB68),OFFSET($C68:AB77,0,0,1,1),"")</f>
        <v/>
      </c>
      <c r="BG68" s="76" t="str">
        <f ca="1">IF(COUNTA(AC68),OFFSET($C68:AC77,0,0,1,1),"")</f>
        <v/>
      </c>
      <c r="BH68" s="143" t="str">
        <f ca="1">IF(COUNTA(AD68),OFFSET($C68:AD77,0,0,1,1),"")</f>
        <v/>
      </c>
      <c r="BI68" s="143" t="str">
        <f ca="1">IF(COUNTA(AE68),OFFSET($C68:AE77,0,0,1,1),"")</f>
        <v/>
      </c>
    </row>
    <row r="69" spans="1:61" s="15" customFormat="1" ht="18.45" hidden="1" customHeight="1" x14ac:dyDescent="0.15">
      <c r="A69" s="199"/>
      <c r="B69" s="199"/>
      <c r="C69" s="95" t="s">
        <v>35</v>
      </c>
      <c r="D69" s="130"/>
      <c r="E69" s="77"/>
      <c r="F69" s="77"/>
      <c r="G69" s="77"/>
      <c r="H69" s="130"/>
      <c r="I69" s="77"/>
      <c r="J69" s="77"/>
      <c r="K69" s="77"/>
      <c r="L69" s="130"/>
      <c r="M69" s="77"/>
      <c r="N69" s="77"/>
      <c r="O69" s="77"/>
      <c r="P69" s="130"/>
      <c r="Q69" s="77"/>
      <c r="R69" s="77"/>
      <c r="S69" s="77"/>
      <c r="T69" s="130"/>
      <c r="U69" s="77"/>
      <c r="V69" s="77"/>
      <c r="W69" s="77"/>
      <c r="X69" s="130"/>
      <c r="Y69" s="77"/>
      <c r="Z69" s="77"/>
      <c r="AA69" s="77"/>
      <c r="AB69" s="130"/>
      <c r="AC69" s="77"/>
      <c r="AD69" s="77"/>
      <c r="AE69" s="175"/>
      <c r="AF69" s="36"/>
      <c r="AG69" s="18"/>
      <c r="AH69" s="76" t="str">
        <f ca="1">IF(COUNTA(D69),OFFSET($C69:D78,0,0,1,1),"")</f>
        <v/>
      </c>
      <c r="AI69" s="76" t="str">
        <f ca="1">IF(COUNTA(E69),OFFSET($C69:E78,0,0,1,1),"")</f>
        <v/>
      </c>
      <c r="AJ69" s="143" t="str">
        <f ca="1">IF(COUNTA(F69),OFFSET($C69:F78,0,0,1,1),"")</f>
        <v/>
      </c>
      <c r="AK69" s="143" t="str">
        <f ca="1">IF(COUNTA(G69),OFFSET($C69:G78,0,0,1,1),"")</f>
        <v/>
      </c>
      <c r="AL69" s="76" t="str">
        <f ca="1">IF(COUNTA(H69),OFFSET($C69:H78,0,0,1,1),"")</f>
        <v/>
      </c>
      <c r="AM69" s="76" t="str">
        <f ca="1">IF(COUNTA(I69),OFFSET($C69:I78,0,0,1,1),"")</f>
        <v/>
      </c>
      <c r="AN69" s="143" t="str">
        <f ca="1">IF(COUNTA(J69),OFFSET($C69:J78,0,0,1,1),"")</f>
        <v/>
      </c>
      <c r="AO69" s="143" t="str">
        <f ca="1">IF(COUNTA(K69),OFFSET($C69:K78,0,0,1,1),"")</f>
        <v/>
      </c>
      <c r="AP69" s="76" t="str">
        <f ca="1">IF(COUNTA(L69),OFFSET($C69:L78,0,0,1,1),"")</f>
        <v/>
      </c>
      <c r="AQ69" s="76" t="str">
        <f ca="1">IF(COUNTA(M69),OFFSET($C69:M78,0,0,1,1),"")</f>
        <v/>
      </c>
      <c r="AR69" s="143" t="str">
        <f ca="1">IF(COUNTA(N69),OFFSET($C69:N78,0,0,1,1),"")</f>
        <v/>
      </c>
      <c r="AS69" s="143" t="str">
        <f ca="1">IF(COUNTA(O69),OFFSET($C69:O78,0,0,1,1),"")</f>
        <v/>
      </c>
      <c r="AT69" s="76" t="str">
        <f ca="1">IF(COUNTA(P69),OFFSET($C69:P78,0,0,1,1),"")</f>
        <v/>
      </c>
      <c r="AU69" s="76" t="str">
        <f ca="1">IF(COUNTA(Q69),OFFSET($C69:Q78,0,0,1,1),"")</f>
        <v/>
      </c>
      <c r="AV69" s="143" t="str">
        <f ca="1">IF(COUNTA(R69),OFFSET($C69:R78,0,0,1,1),"")</f>
        <v/>
      </c>
      <c r="AW69" s="143" t="str">
        <f ca="1">IF(COUNTA(S69),OFFSET($C69:S78,0,0,1,1),"")</f>
        <v/>
      </c>
      <c r="AX69" s="76" t="str">
        <f ca="1">IF(COUNTA(T69),OFFSET($C69:T78,0,0,1,1),"")</f>
        <v/>
      </c>
      <c r="AY69" s="76" t="str">
        <f ca="1">IF(COUNTA(U69),OFFSET($C69:U78,0,0,1,1),"")</f>
        <v/>
      </c>
      <c r="AZ69" s="143" t="str">
        <f ca="1">IF(COUNTA(V69),OFFSET($C69:V78,0,0,1,1),"")</f>
        <v/>
      </c>
      <c r="BA69" s="143" t="str">
        <f ca="1">IF(COUNTA(W69),OFFSET($C69:W78,0,0,1,1),"")</f>
        <v/>
      </c>
      <c r="BB69" s="76" t="str">
        <f ca="1">IF(COUNTA(X69),OFFSET($C69:X78,0,0,1,1),"")</f>
        <v/>
      </c>
      <c r="BC69" s="76" t="str">
        <f ca="1">IF(COUNTA(Y69),OFFSET($C69:Y78,0,0,1,1),"")</f>
        <v/>
      </c>
      <c r="BD69" s="143" t="str">
        <f ca="1">IF(COUNTA(Z69),OFFSET($C69:Z78,0,0,1,1),"")</f>
        <v/>
      </c>
      <c r="BE69" s="143" t="str">
        <f ca="1">IF(COUNTA(AA69),OFFSET($C69:AA78,0,0,1,1),"")</f>
        <v/>
      </c>
      <c r="BF69" s="76" t="str">
        <f ca="1">IF(COUNTA(AB69),OFFSET($C69:AB78,0,0,1,1),"")</f>
        <v/>
      </c>
      <c r="BG69" s="76" t="str">
        <f ca="1">IF(COUNTA(AC69),OFFSET($C69:AC78,0,0,1,1),"")</f>
        <v/>
      </c>
      <c r="BH69" s="143" t="str">
        <f ca="1">IF(COUNTA(AD69),OFFSET($C69:AD78,0,0,1,1),"")</f>
        <v/>
      </c>
      <c r="BI69" s="143" t="str">
        <f ca="1">IF(COUNTA(AE69),OFFSET($C69:AE78,0,0,1,1),"")</f>
        <v/>
      </c>
    </row>
    <row r="70" spans="1:61" s="15" customFormat="1" ht="18.45" hidden="1" customHeight="1" x14ac:dyDescent="0.15">
      <c r="A70" s="199"/>
      <c r="B70" s="199"/>
      <c r="C70" s="95" t="s">
        <v>35</v>
      </c>
      <c r="D70" s="130"/>
      <c r="E70" s="77"/>
      <c r="F70" s="77"/>
      <c r="G70" s="77"/>
      <c r="H70" s="130"/>
      <c r="I70" s="77"/>
      <c r="J70" s="77"/>
      <c r="K70" s="77"/>
      <c r="L70" s="130"/>
      <c r="M70" s="77"/>
      <c r="N70" s="77"/>
      <c r="O70" s="77"/>
      <c r="P70" s="130"/>
      <c r="Q70" s="77"/>
      <c r="R70" s="77"/>
      <c r="S70" s="77"/>
      <c r="T70" s="130"/>
      <c r="U70" s="77"/>
      <c r="V70" s="77"/>
      <c r="W70" s="77"/>
      <c r="X70" s="130"/>
      <c r="Y70" s="77"/>
      <c r="Z70" s="77"/>
      <c r="AA70" s="77"/>
      <c r="AB70" s="130"/>
      <c r="AC70" s="77"/>
      <c r="AD70" s="77"/>
      <c r="AE70" s="175"/>
      <c r="AF70" s="36"/>
      <c r="AG70" s="18"/>
      <c r="AH70" s="76" t="str">
        <f ca="1">IF(COUNTA(D70),OFFSET($C70:D79,0,0,1,1),"")</f>
        <v/>
      </c>
      <c r="AI70" s="76" t="str">
        <f ca="1">IF(COUNTA(E70),OFFSET($C70:E79,0,0,1,1),"")</f>
        <v/>
      </c>
      <c r="AJ70" s="143" t="str">
        <f ca="1">IF(COUNTA(F70),OFFSET($C70:F79,0,0,1,1),"")</f>
        <v/>
      </c>
      <c r="AK70" s="143" t="str">
        <f ca="1">IF(COUNTA(G70),OFFSET($C70:G79,0,0,1,1),"")</f>
        <v/>
      </c>
      <c r="AL70" s="76" t="str">
        <f ca="1">IF(COUNTA(H70),OFFSET($C70:H79,0,0,1,1),"")</f>
        <v/>
      </c>
      <c r="AM70" s="76" t="str">
        <f ca="1">IF(COUNTA(I70),OFFSET($C70:I79,0,0,1,1),"")</f>
        <v/>
      </c>
      <c r="AN70" s="143" t="str">
        <f ca="1">IF(COUNTA(J70),OFFSET($C70:J79,0,0,1,1),"")</f>
        <v/>
      </c>
      <c r="AO70" s="143" t="str">
        <f ca="1">IF(COUNTA(K70),OFFSET($C70:K79,0,0,1,1),"")</f>
        <v/>
      </c>
      <c r="AP70" s="76" t="str">
        <f ca="1">IF(COUNTA(L70),OFFSET($C70:L79,0,0,1,1),"")</f>
        <v/>
      </c>
      <c r="AQ70" s="76" t="str">
        <f ca="1">IF(COUNTA(M70),OFFSET($C70:M79,0,0,1,1),"")</f>
        <v/>
      </c>
      <c r="AR70" s="143" t="str">
        <f ca="1">IF(COUNTA(N70),OFFSET($C70:N79,0,0,1,1),"")</f>
        <v/>
      </c>
      <c r="AS70" s="143" t="str">
        <f ca="1">IF(COUNTA(O70),OFFSET($C70:O79,0,0,1,1),"")</f>
        <v/>
      </c>
      <c r="AT70" s="76" t="str">
        <f ca="1">IF(COUNTA(P70),OFFSET($C70:P79,0,0,1,1),"")</f>
        <v/>
      </c>
      <c r="AU70" s="76" t="str">
        <f ca="1">IF(COUNTA(Q70),OFFSET($C70:Q79,0,0,1,1),"")</f>
        <v/>
      </c>
      <c r="AV70" s="143" t="str">
        <f ca="1">IF(COUNTA(R70),OFFSET($C70:R79,0,0,1,1),"")</f>
        <v/>
      </c>
      <c r="AW70" s="143" t="str">
        <f ca="1">IF(COUNTA(S70),OFFSET($C70:S79,0,0,1,1),"")</f>
        <v/>
      </c>
      <c r="AX70" s="76" t="str">
        <f ca="1">IF(COUNTA(T70),OFFSET($C70:T79,0,0,1,1),"")</f>
        <v/>
      </c>
      <c r="AY70" s="76" t="str">
        <f ca="1">IF(COUNTA(U70),OFFSET($C70:U79,0,0,1,1),"")</f>
        <v/>
      </c>
      <c r="AZ70" s="143" t="str">
        <f ca="1">IF(COUNTA(V70),OFFSET($C70:V79,0,0,1,1),"")</f>
        <v/>
      </c>
      <c r="BA70" s="143" t="str">
        <f ca="1">IF(COUNTA(W70),OFFSET($C70:W79,0,0,1,1),"")</f>
        <v/>
      </c>
      <c r="BB70" s="76" t="str">
        <f ca="1">IF(COUNTA(X70),OFFSET($C70:X79,0,0,1,1),"")</f>
        <v/>
      </c>
      <c r="BC70" s="76" t="str">
        <f ca="1">IF(COUNTA(Y70),OFFSET($C70:Y79,0,0,1,1),"")</f>
        <v/>
      </c>
      <c r="BD70" s="143" t="str">
        <f ca="1">IF(COUNTA(Z70),OFFSET($C70:Z79,0,0,1,1),"")</f>
        <v/>
      </c>
      <c r="BE70" s="143" t="str">
        <f ca="1">IF(COUNTA(AA70),OFFSET($C70:AA79,0,0,1,1),"")</f>
        <v/>
      </c>
      <c r="BF70" s="76" t="str">
        <f ca="1">IF(COUNTA(AB70),OFFSET($C70:AB79,0,0,1,1),"")</f>
        <v/>
      </c>
      <c r="BG70" s="76" t="str">
        <f ca="1">IF(COUNTA(AC70),OFFSET($C70:AC79,0,0,1,1),"")</f>
        <v/>
      </c>
      <c r="BH70" s="143" t="str">
        <f ca="1">IF(COUNTA(AD70),OFFSET($C70:AD79,0,0,1,1),"")</f>
        <v/>
      </c>
      <c r="BI70" s="143" t="str">
        <f ca="1">IF(COUNTA(AE70),OFFSET($C70:AE79,0,0,1,1),"")</f>
        <v/>
      </c>
    </row>
    <row r="71" spans="1:61" s="15" customFormat="1" ht="18.45" hidden="1" customHeight="1" x14ac:dyDescent="0.15">
      <c r="A71" s="199"/>
      <c r="B71" s="199"/>
      <c r="C71" s="95" t="s">
        <v>35</v>
      </c>
      <c r="D71" s="130"/>
      <c r="E71" s="77"/>
      <c r="F71" s="77"/>
      <c r="G71" s="77"/>
      <c r="H71" s="130"/>
      <c r="I71" s="77"/>
      <c r="J71" s="77"/>
      <c r="K71" s="77"/>
      <c r="L71" s="130"/>
      <c r="M71" s="77"/>
      <c r="N71" s="77"/>
      <c r="O71" s="77"/>
      <c r="P71" s="130"/>
      <c r="Q71" s="77"/>
      <c r="R71" s="77"/>
      <c r="S71" s="77"/>
      <c r="T71" s="130"/>
      <c r="U71" s="77"/>
      <c r="V71" s="77"/>
      <c r="W71" s="77"/>
      <c r="X71" s="130"/>
      <c r="Y71" s="77"/>
      <c r="Z71" s="77"/>
      <c r="AA71" s="77"/>
      <c r="AB71" s="130"/>
      <c r="AC71" s="77"/>
      <c r="AD71" s="77"/>
      <c r="AE71" s="175"/>
      <c r="AF71" s="36"/>
      <c r="AG71" s="18"/>
      <c r="AH71" s="76" t="str">
        <f ca="1">IF(COUNTA(D71),OFFSET($C71:D80,0,0,1,1),"")</f>
        <v/>
      </c>
      <c r="AI71" s="76" t="str">
        <f ca="1">IF(COUNTA(E71),OFFSET($C71:E80,0,0,1,1),"")</f>
        <v/>
      </c>
      <c r="AJ71" s="143" t="str">
        <f ca="1">IF(COUNTA(F71),OFFSET($C71:F80,0,0,1,1),"")</f>
        <v/>
      </c>
      <c r="AK71" s="143" t="str">
        <f ca="1">IF(COUNTA(G71),OFFSET($C71:G80,0,0,1,1),"")</f>
        <v/>
      </c>
      <c r="AL71" s="76" t="str">
        <f ca="1">IF(COUNTA(H71),OFFSET($C71:H80,0,0,1,1),"")</f>
        <v/>
      </c>
      <c r="AM71" s="76" t="str">
        <f ca="1">IF(COUNTA(I71),OFFSET($C71:I80,0,0,1,1),"")</f>
        <v/>
      </c>
      <c r="AN71" s="143" t="str">
        <f ca="1">IF(COUNTA(J71),OFFSET($C71:J80,0,0,1,1),"")</f>
        <v/>
      </c>
      <c r="AO71" s="143" t="str">
        <f ca="1">IF(COUNTA(K71),OFFSET($C71:K80,0,0,1,1),"")</f>
        <v/>
      </c>
      <c r="AP71" s="76" t="str">
        <f ca="1">IF(COUNTA(L71),OFFSET($C71:L80,0,0,1,1),"")</f>
        <v/>
      </c>
      <c r="AQ71" s="76" t="str">
        <f ca="1">IF(COUNTA(M71),OFFSET($C71:M80,0,0,1,1),"")</f>
        <v/>
      </c>
      <c r="AR71" s="143" t="str">
        <f ca="1">IF(COUNTA(N71),OFFSET($C71:N80,0,0,1,1),"")</f>
        <v/>
      </c>
      <c r="AS71" s="143" t="str">
        <f ca="1">IF(COUNTA(O71),OFFSET($C71:O80,0,0,1,1),"")</f>
        <v/>
      </c>
      <c r="AT71" s="76" t="str">
        <f ca="1">IF(COUNTA(P71),OFFSET($C71:P80,0,0,1,1),"")</f>
        <v/>
      </c>
      <c r="AU71" s="76" t="str">
        <f ca="1">IF(COUNTA(Q71),OFFSET($C71:Q80,0,0,1,1),"")</f>
        <v/>
      </c>
      <c r="AV71" s="143" t="str">
        <f ca="1">IF(COUNTA(R71),OFFSET($C71:R80,0,0,1,1),"")</f>
        <v/>
      </c>
      <c r="AW71" s="143" t="str">
        <f ca="1">IF(COUNTA(S71),OFFSET($C71:S80,0,0,1,1),"")</f>
        <v/>
      </c>
      <c r="AX71" s="76" t="str">
        <f ca="1">IF(COUNTA(T71),OFFSET($C71:T80,0,0,1,1),"")</f>
        <v/>
      </c>
      <c r="AY71" s="76" t="str">
        <f ca="1">IF(COUNTA(U71),OFFSET($C71:U80,0,0,1,1),"")</f>
        <v/>
      </c>
      <c r="AZ71" s="143" t="str">
        <f ca="1">IF(COUNTA(V71),OFFSET($C71:V80,0,0,1,1),"")</f>
        <v/>
      </c>
      <c r="BA71" s="143" t="str">
        <f ca="1">IF(COUNTA(W71),OFFSET($C71:W80,0,0,1,1),"")</f>
        <v/>
      </c>
      <c r="BB71" s="76" t="str">
        <f ca="1">IF(COUNTA(X71),OFFSET($C71:X80,0,0,1,1),"")</f>
        <v/>
      </c>
      <c r="BC71" s="76" t="str">
        <f ca="1">IF(COUNTA(Y71),OFFSET($C71:Y80,0,0,1,1),"")</f>
        <v/>
      </c>
      <c r="BD71" s="143" t="str">
        <f ca="1">IF(COUNTA(Z71),OFFSET($C71:Z80,0,0,1,1),"")</f>
        <v/>
      </c>
      <c r="BE71" s="143" t="str">
        <f ca="1">IF(COUNTA(AA71),OFFSET($C71:AA80,0,0,1,1),"")</f>
        <v/>
      </c>
      <c r="BF71" s="76" t="str">
        <f ca="1">IF(COUNTA(AB71),OFFSET($C71:AB80,0,0,1,1),"")</f>
        <v/>
      </c>
      <c r="BG71" s="76" t="str">
        <f ca="1">IF(COUNTA(AC71),OFFSET($C71:AC80,0,0,1,1),"")</f>
        <v/>
      </c>
      <c r="BH71" s="143" t="str">
        <f ca="1">IF(COUNTA(AD71),OFFSET($C71:AD80,0,0,1,1),"")</f>
        <v/>
      </c>
      <c r="BI71" s="143" t="str">
        <f ca="1">IF(COUNTA(AE71),OFFSET($C71:AE80,0,0,1,1),"")</f>
        <v/>
      </c>
    </row>
    <row r="72" spans="1:61" s="15" customFormat="1" ht="18.45" hidden="1" customHeight="1" x14ac:dyDescent="0.15">
      <c r="A72" s="199"/>
      <c r="B72" s="199"/>
      <c r="C72" s="95" t="s">
        <v>35</v>
      </c>
      <c r="D72" s="130"/>
      <c r="E72" s="77"/>
      <c r="F72" s="77"/>
      <c r="G72" s="77"/>
      <c r="H72" s="130"/>
      <c r="I72" s="77"/>
      <c r="J72" s="77"/>
      <c r="K72" s="77"/>
      <c r="L72" s="130"/>
      <c r="M72" s="77"/>
      <c r="N72" s="77"/>
      <c r="O72" s="77"/>
      <c r="P72" s="130"/>
      <c r="Q72" s="77"/>
      <c r="R72" s="77"/>
      <c r="S72" s="77"/>
      <c r="T72" s="130"/>
      <c r="U72" s="77"/>
      <c r="V72" s="77"/>
      <c r="W72" s="77"/>
      <c r="X72" s="130"/>
      <c r="Y72" s="77"/>
      <c r="Z72" s="77"/>
      <c r="AA72" s="77"/>
      <c r="AB72" s="130"/>
      <c r="AC72" s="77"/>
      <c r="AD72" s="77"/>
      <c r="AE72" s="175"/>
      <c r="AF72" s="36"/>
      <c r="AG72" s="18"/>
      <c r="AH72" s="76" t="str">
        <f ca="1">IF(COUNTA(D72),OFFSET($C72:D81,0,0,1,1),"")</f>
        <v/>
      </c>
      <c r="AI72" s="76" t="str">
        <f ca="1">IF(COUNTA(E72),OFFSET($C72:E81,0,0,1,1),"")</f>
        <v/>
      </c>
      <c r="AJ72" s="143" t="str">
        <f ca="1">IF(COUNTA(F72),OFFSET($C72:F81,0,0,1,1),"")</f>
        <v/>
      </c>
      <c r="AK72" s="143" t="str">
        <f ca="1">IF(COUNTA(G72),OFFSET($C72:G81,0,0,1,1),"")</f>
        <v/>
      </c>
      <c r="AL72" s="76" t="str">
        <f ca="1">IF(COUNTA(H72),OFFSET($C72:H81,0,0,1,1),"")</f>
        <v/>
      </c>
      <c r="AM72" s="76" t="str">
        <f ca="1">IF(COUNTA(I72),OFFSET($C72:I81,0,0,1,1),"")</f>
        <v/>
      </c>
      <c r="AN72" s="143" t="str">
        <f ca="1">IF(COUNTA(J72),OFFSET($C72:J81,0,0,1,1),"")</f>
        <v/>
      </c>
      <c r="AO72" s="143" t="str">
        <f ca="1">IF(COUNTA(K72),OFFSET($C72:K81,0,0,1,1),"")</f>
        <v/>
      </c>
      <c r="AP72" s="76" t="str">
        <f ca="1">IF(COUNTA(L72),OFFSET($C72:L81,0,0,1,1),"")</f>
        <v/>
      </c>
      <c r="AQ72" s="76" t="str">
        <f ca="1">IF(COUNTA(M72),OFFSET($C72:M81,0,0,1,1),"")</f>
        <v/>
      </c>
      <c r="AR72" s="143" t="str">
        <f ca="1">IF(COUNTA(N72),OFFSET($C72:N81,0,0,1,1),"")</f>
        <v/>
      </c>
      <c r="AS72" s="143" t="str">
        <f ca="1">IF(COUNTA(O72),OFFSET($C72:O81,0,0,1,1),"")</f>
        <v/>
      </c>
      <c r="AT72" s="76" t="str">
        <f ca="1">IF(COUNTA(P72),OFFSET($C72:P81,0,0,1,1),"")</f>
        <v/>
      </c>
      <c r="AU72" s="76" t="str">
        <f ca="1">IF(COUNTA(Q72),OFFSET($C72:Q81,0,0,1,1),"")</f>
        <v/>
      </c>
      <c r="AV72" s="143" t="str">
        <f ca="1">IF(COUNTA(R72),OFFSET($C72:R81,0,0,1,1),"")</f>
        <v/>
      </c>
      <c r="AW72" s="143" t="str">
        <f ca="1">IF(COUNTA(S72),OFFSET($C72:S81,0,0,1,1),"")</f>
        <v/>
      </c>
      <c r="AX72" s="76" t="str">
        <f ca="1">IF(COUNTA(T72),OFFSET($C72:T81,0,0,1,1),"")</f>
        <v/>
      </c>
      <c r="AY72" s="76" t="str">
        <f ca="1">IF(COUNTA(U72),OFFSET($C72:U81,0,0,1,1),"")</f>
        <v/>
      </c>
      <c r="AZ72" s="143" t="str">
        <f ca="1">IF(COUNTA(V72),OFFSET($C72:V81,0,0,1,1),"")</f>
        <v/>
      </c>
      <c r="BA72" s="143" t="str">
        <f ca="1">IF(COUNTA(W72),OFFSET($C72:W81,0,0,1,1),"")</f>
        <v/>
      </c>
      <c r="BB72" s="76" t="str">
        <f ca="1">IF(COUNTA(X72),OFFSET($C72:X81,0,0,1,1),"")</f>
        <v/>
      </c>
      <c r="BC72" s="76" t="str">
        <f ca="1">IF(COUNTA(Y72),OFFSET($C72:Y81,0,0,1,1),"")</f>
        <v/>
      </c>
      <c r="BD72" s="143" t="str">
        <f ca="1">IF(COUNTA(Z72),OFFSET($C72:Z81,0,0,1,1),"")</f>
        <v/>
      </c>
      <c r="BE72" s="143" t="str">
        <f ca="1">IF(COUNTA(AA72),OFFSET($C72:AA81,0,0,1,1),"")</f>
        <v/>
      </c>
      <c r="BF72" s="76" t="str">
        <f ca="1">IF(COUNTA(AB72),OFFSET($C72:AB81,0,0,1,1),"")</f>
        <v/>
      </c>
      <c r="BG72" s="76" t="str">
        <f ca="1">IF(COUNTA(AC72),OFFSET($C72:AC81,0,0,1,1),"")</f>
        <v/>
      </c>
      <c r="BH72" s="143" t="str">
        <f ca="1">IF(COUNTA(AD72),OFFSET($C72:AD81,0,0,1,1),"")</f>
        <v/>
      </c>
      <c r="BI72" s="143" t="str">
        <f ca="1">IF(COUNTA(AE72),OFFSET($C72:AE81,0,0,1,1),"")</f>
        <v/>
      </c>
    </row>
    <row r="73" spans="1:61" s="15" customFormat="1" ht="18.45" hidden="1" customHeight="1" x14ac:dyDescent="0.15">
      <c r="A73" s="199"/>
      <c r="B73" s="199"/>
      <c r="C73" s="97" t="s">
        <v>35</v>
      </c>
      <c r="D73" s="130"/>
      <c r="E73" s="77"/>
      <c r="F73" s="77"/>
      <c r="G73" s="77"/>
      <c r="H73" s="130"/>
      <c r="I73" s="77"/>
      <c r="J73" s="77"/>
      <c r="K73" s="77"/>
      <c r="L73" s="130"/>
      <c r="M73" s="77"/>
      <c r="N73" s="77"/>
      <c r="O73" s="77"/>
      <c r="P73" s="130"/>
      <c r="Q73" s="77"/>
      <c r="R73" s="77"/>
      <c r="S73" s="77"/>
      <c r="T73" s="130"/>
      <c r="U73" s="77"/>
      <c r="V73" s="77"/>
      <c r="W73" s="77"/>
      <c r="X73" s="130"/>
      <c r="Y73" s="77"/>
      <c r="Z73" s="77"/>
      <c r="AA73" s="77"/>
      <c r="AB73" s="130"/>
      <c r="AC73" s="77"/>
      <c r="AD73" s="77"/>
      <c r="AE73" s="175"/>
      <c r="AF73" s="36"/>
      <c r="AG73" s="18"/>
      <c r="AH73" s="76" t="str">
        <f ca="1">IF(COUNTA(D73),OFFSET($C73:D76,0,0,1,1),"")</f>
        <v/>
      </c>
      <c r="AI73" s="76" t="str">
        <f ca="1">IF(COUNTA(E73),OFFSET($C73:E76,0,0,1,1),"")</f>
        <v/>
      </c>
      <c r="AJ73" s="143" t="str">
        <f ca="1">IF(COUNTA(F73),OFFSET($C73:F76,0,0,1,1),"")</f>
        <v/>
      </c>
      <c r="AK73" s="143" t="str">
        <f ca="1">IF(COUNTA(G73),OFFSET($C73:G76,0,0,1,1),"")</f>
        <v/>
      </c>
      <c r="AL73" s="76" t="str">
        <f ca="1">IF(COUNTA(H73),OFFSET($C73:H76,0,0,1,1),"")</f>
        <v/>
      </c>
      <c r="AM73" s="76" t="str">
        <f ca="1">IF(COUNTA(I73),OFFSET($C73:I76,0,0,1,1),"")</f>
        <v/>
      </c>
      <c r="AN73" s="143" t="str">
        <f ca="1">IF(COUNTA(J73),OFFSET($C73:J76,0,0,1,1),"")</f>
        <v/>
      </c>
      <c r="AO73" s="143" t="str">
        <f ca="1">IF(COUNTA(K73),OFFSET($C73:K76,0,0,1,1),"")</f>
        <v/>
      </c>
      <c r="AP73" s="76" t="str">
        <f ca="1">IF(COUNTA(L73),OFFSET($C73:L76,0,0,1,1),"")</f>
        <v/>
      </c>
      <c r="AQ73" s="76" t="str">
        <f ca="1">IF(COUNTA(M73),OFFSET($C73:M76,0,0,1,1),"")</f>
        <v/>
      </c>
      <c r="AR73" s="143" t="str">
        <f ca="1">IF(COUNTA(N73),OFFSET($C73:N76,0,0,1,1),"")</f>
        <v/>
      </c>
      <c r="AS73" s="143" t="str">
        <f ca="1">IF(COUNTA(O73),OFFSET($C73:O76,0,0,1,1),"")</f>
        <v/>
      </c>
      <c r="AT73" s="76" t="str">
        <f ca="1">IF(COUNTA(P73),OFFSET($C73:P76,0,0,1,1),"")</f>
        <v/>
      </c>
      <c r="AU73" s="76" t="str">
        <f ca="1">IF(COUNTA(Q73),OFFSET($C73:Q76,0,0,1,1),"")</f>
        <v/>
      </c>
      <c r="AV73" s="143" t="str">
        <f ca="1">IF(COUNTA(R73),OFFSET($C73:R76,0,0,1,1),"")</f>
        <v/>
      </c>
      <c r="AW73" s="143" t="str">
        <f ca="1">IF(COUNTA(S73),OFFSET($C73:S76,0,0,1,1),"")</f>
        <v/>
      </c>
      <c r="AX73" s="76" t="str">
        <f ca="1">IF(COUNTA(T73),OFFSET($C73:T76,0,0,1,1),"")</f>
        <v/>
      </c>
      <c r="AY73" s="76" t="str">
        <f ca="1">IF(COUNTA(U73),OFFSET($C73:U76,0,0,1,1),"")</f>
        <v/>
      </c>
      <c r="AZ73" s="143" t="str">
        <f ca="1">IF(COUNTA(V73),OFFSET($C73:V76,0,0,1,1),"")</f>
        <v/>
      </c>
      <c r="BA73" s="143" t="str">
        <f ca="1">IF(COUNTA(W73),OFFSET($C73:W76,0,0,1,1),"")</f>
        <v/>
      </c>
      <c r="BB73" s="76" t="str">
        <f ca="1">IF(COUNTA(X73),OFFSET($C73:X76,0,0,1,1),"")</f>
        <v/>
      </c>
      <c r="BC73" s="76" t="str">
        <f ca="1">IF(COUNTA(Y73),OFFSET($C73:Y76,0,0,1,1),"")</f>
        <v/>
      </c>
      <c r="BD73" s="143" t="str">
        <f ca="1">IF(COUNTA(Z73),OFFSET($C73:Z76,0,0,1,1),"")</f>
        <v/>
      </c>
      <c r="BE73" s="143" t="str">
        <f ca="1">IF(COUNTA(AA73),OFFSET($C73:AA76,0,0,1,1),"")</f>
        <v/>
      </c>
      <c r="BF73" s="76" t="str">
        <f ca="1">IF(COUNTA(AB73),OFFSET($C73:AB76,0,0,1,1),"")</f>
        <v/>
      </c>
      <c r="BG73" s="76" t="str">
        <f ca="1">IF(COUNTA(AC73),OFFSET($C73:AC76,0,0,1,1),"")</f>
        <v/>
      </c>
      <c r="BH73" s="143" t="str">
        <f ca="1">IF(COUNTA(AD73),OFFSET($C73:AD76,0,0,1,1),"")</f>
        <v/>
      </c>
      <c r="BI73" s="143" t="str">
        <f ca="1">IF(COUNTA(AE73),OFFSET($C73:AE76,0,0,1,1),"")</f>
        <v/>
      </c>
    </row>
    <row r="74" spans="1:61" s="15" customFormat="1" ht="18.45" hidden="1" customHeight="1" x14ac:dyDescent="0.15">
      <c r="A74" s="199"/>
      <c r="B74" s="200"/>
      <c r="C74" s="96" t="s">
        <v>35</v>
      </c>
      <c r="D74" s="131"/>
      <c r="E74" s="79"/>
      <c r="F74" s="79"/>
      <c r="G74" s="79"/>
      <c r="H74" s="131"/>
      <c r="I74" s="79"/>
      <c r="J74" s="79"/>
      <c r="K74" s="79"/>
      <c r="L74" s="131"/>
      <c r="M74" s="79"/>
      <c r="N74" s="79"/>
      <c r="O74" s="79"/>
      <c r="P74" s="131"/>
      <c r="Q74" s="79"/>
      <c r="R74" s="79"/>
      <c r="S74" s="79"/>
      <c r="T74" s="131"/>
      <c r="U74" s="79"/>
      <c r="V74" s="79"/>
      <c r="W74" s="79"/>
      <c r="X74" s="131"/>
      <c r="Y74" s="79"/>
      <c r="Z74" s="79"/>
      <c r="AA74" s="79"/>
      <c r="AB74" s="131"/>
      <c r="AC74" s="79"/>
      <c r="AD74" s="79"/>
      <c r="AE74" s="176"/>
      <c r="AF74" s="36"/>
      <c r="AG74" s="18"/>
      <c r="AH74" s="78" t="str">
        <f ca="1">IF(COUNTA(D74),OFFSET($C74:D77,0,0,1,1),"")</f>
        <v/>
      </c>
      <c r="AI74" s="78" t="str">
        <f ca="1">IF(COUNTA(E74),OFFSET($C74:E77,0,0,1,1),"")</f>
        <v/>
      </c>
      <c r="AJ74" s="144" t="str">
        <f ca="1">IF(COUNTA(F74),OFFSET($C74:F77,0,0,1,1),"")</f>
        <v/>
      </c>
      <c r="AK74" s="144" t="str">
        <f ca="1">IF(COUNTA(G74),OFFSET($C74:G77,0,0,1,1),"")</f>
        <v/>
      </c>
      <c r="AL74" s="78" t="str">
        <f ca="1">IF(COUNTA(H74),OFFSET($C74:H77,0,0,1,1),"")</f>
        <v/>
      </c>
      <c r="AM74" s="78" t="str">
        <f ca="1">IF(COUNTA(I74),OFFSET($C74:I77,0,0,1,1),"")</f>
        <v/>
      </c>
      <c r="AN74" s="144" t="str">
        <f ca="1">IF(COUNTA(J74),OFFSET($C74:J77,0,0,1,1),"")</f>
        <v/>
      </c>
      <c r="AO74" s="144" t="str">
        <f ca="1">IF(COUNTA(K74),OFFSET($C74:K77,0,0,1,1),"")</f>
        <v/>
      </c>
      <c r="AP74" s="78" t="str">
        <f ca="1">IF(COUNTA(L74),OFFSET($C74:L77,0,0,1,1),"")</f>
        <v/>
      </c>
      <c r="AQ74" s="78" t="str">
        <f ca="1">IF(COUNTA(M74),OFFSET($C74:M77,0,0,1,1),"")</f>
        <v/>
      </c>
      <c r="AR74" s="144" t="str">
        <f ca="1">IF(COUNTA(N74),OFFSET($C74:N77,0,0,1,1),"")</f>
        <v/>
      </c>
      <c r="AS74" s="144" t="str">
        <f ca="1">IF(COUNTA(O74),OFFSET($C74:O77,0,0,1,1),"")</f>
        <v/>
      </c>
      <c r="AT74" s="78" t="str">
        <f ca="1">IF(COUNTA(P74),OFFSET($C74:P77,0,0,1,1),"")</f>
        <v/>
      </c>
      <c r="AU74" s="78" t="str">
        <f ca="1">IF(COUNTA(Q74),OFFSET($C74:Q77,0,0,1,1),"")</f>
        <v/>
      </c>
      <c r="AV74" s="144" t="str">
        <f ca="1">IF(COUNTA(R74),OFFSET($C74:R77,0,0,1,1),"")</f>
        <v/>
      </c>
      <c r="AW74" s="144" t="str">
        <f ca="1">IF(COUNTA(S74),OFFSET($C74:S77,0,0,1,1),"")</f>
        <v/>
      </c>
      <c r="AX74" s="78" t="str">
        <f ca="1">IF(COUNTA(T74),OFFSET($C74:T77,0,0,1,1),"")</f>
        <v/>
      </c>
      <c r="AY74" s="78" t="str">
        <f ca="1">IF(COUNTA(U74),OFFSET($C74:U77,0,0,1,1),"")</f>
        <v/>
      </c>
      <c r="AZ74" s="144" t="str">
        <f ca="1">IF(COUNTA(V74),OFFSET($C74:V77,0,0,1,1),"")</f>
        <v/>
      </c>
      <c r="BA74" s="144" t="str">
        <f ca="1">IF(COUNTA(W74),OFFSET($C74:W77,0,0,1,1),"")</f>
        <v/>
      </c>
      <c r="BB74" s="78" t="str">
        <f ca="1">IF(COUNTA(X74),OFFSET($C74:X77,0,0,1,1),"")</f>
        <v/>
      </c>
      <c r="BC74" s="78" t="str">
        <f ca="1">IF(COUNTA(Y74),OFFSET($C74:Y77,0,0,1,1),"")</f>
        <v/>
      </c>
      <c r="BD74" s="144" t="str">
        <f ca="1">IF(COUNTA(Z74),OFFSET($C74:Z77,0,0,1,1),"")</f>
        <v/>
      </c>
      <c r="BE74" s="144" t="str">
        <f ca="1">IF(COUNTA(AA74),OFFSET($C74:AA77,0,0,1,1),"")</f>
        <v/>
      </c>
      <c r="BF74" s="78" t="str">
        <f ca="1">IF(COUNTA(AB74),OFFSET($C74:AB77,0,0,1,1),"")</f>
        <v/>
      </c>
      <c r="BG74" s="78" t="str">
        <f ca="1">IF(COUNTA(AC74),OFFSET($C74:AC77,0,0,1,1),"")</f>
        <v/>
      </c>
      <c r="BH74" s="144" t="str">
        <f ca="1">IF(COUNTA(AD74),OFFSET($C74:AD77,0,0,1,1),"")</f>
        <v/>
      </c>
      <c r="BI74" s="144" t="str">
        <f ca="1">IF(COUNTA(AE74),OFFSET($C74:AE77,0,0,1,1),"")</f>
        <v/>
      </c>
    </row>
    <row r="75" spans="1:61" s="15" customFormat="1" ht="18.45" customHeight="1" x14ac:dyDescent="0.15">
      <c r="A75" s="211" t="s">
        <v>36</v>
      </c>
      <c r="B75" s="211" t="s">
        <v>37</v>
      </c>
      <c r="C75" s="98" t="s">
        <v>37</v>
      </c>
      <c r="D75" s="132" t="s">
        <v>178</v>
      </c>
      <c r="E75" s="81"/>
      <c r="F75" s="81" t="s">
        <v>178</v>
      </c>
      <c r="G75" s="81"/>
      <c r="H75" s="132" t="s">
        <v>145</v>
      </c>
      <c r="I75" s="81"/>
      <c r="J75" s="81" t="s">
        <v>178</v>
      </c>
      <c r="K75" s="81"/>
      <c r="L75" s="132" t="s">
        <v>149</v>
      </c>
      <c r="M75" s="81"/>
      <c r="N75" s="81" t="s">
        <v>149</v>
      </c>
      <c r="O75" s="81"/>
      <c r="P75" s="132" t="s">
        <v>145</v>
      </c>
      <c r="Q75" s="81"/>
      <c r="R75" s="81" t="s">
        <v>149</v>
      </c>
      <c r="S75" s="81"/>
      <c r="T75" s="132" t="s">
        <v>178</v>
      </c>
      <c r="U75" s="81"/>
      <c r="V75" s="81"/>
      <c r="W75" s="81"/>
      <c r="X75" s="132"/>
      <c r="Y75" s="81"/>
      <c r="Z75" s="81"/>
      <c r="AA75" s="81"/>
      <c r="AB75" s="132"/>
      <c r="AC75" s="81"/>
      <c r="AD75" s="81"/>
      <c r="AE75" s="177"/>
      <c r="AF75" s="36"/>
      <c r="AG75" s="18"/>
      <c r="AH75" s="80" t="str">
        <f ca="1">IF(COUNTA(D75),OFFSET($C75:D78,0,0,1,1),"")</f>
        <v>Production</v>
      </c>
      <c r="AI75" s="80" t="str">
        <f ca="1">IF(COUNTA(E75),OFFSET($C75:E78,0,0,1,1),"")</f>
        <v/>
      </c>
      <c r="AJ75" s="145" t="str">
        <f ca="1">IF(COUNTA(F75),OFFSET($C75:F78,0,0,1,1),"")</f>
        <v>Production</v>
      </c>
      <c r="AK75" s="145" t="str">
        <f ca="1">IF(COUNTA(G75),OFFSET($C75:G78,0,0,1,1),"")</f>
        <v/>
      </c>
      <c r="AL75" s="80" t="str">
        <f ca="1">IF(COUNTA(H75),OFFSET($C75:H78,0,0,1,1),"")</f>
        <v>Production</v>
      </c>
      <c r="AM75" s="80" t="str">
        <f ca="1">IF(COUNTA(I75),OFFSET($C75:I78,0,0,1,1),"")</f>
        <v/>
      </c>
      <c r="AN75" s="145" t="str">
        <f ca="1">IF(COUNTA(J75),OFFSET($C75:J78,0,0,1,1),"")</f>
        <v>Production</v>
      </c>
      <c r="AO75" s="145" t="str">
        <f ca="1">IF(COUNTA(K75),OFFSET($C75:K78,0,0,1,1),"")</f>
        <v/>
      </c>
      <c r="AP75" s="80" t="str">
        <f ca="1">IF(COUNTA(L75),OFFSET($C75:L78,0,0,1,1),"")</f>
        <v>Production</v>
      </c>
      <c r="AQ75" s="80" t="str">
        <f ca="1">IF(COUNTA(M75),OFFSET($C75:M78,0,0,1,1),"")</f>
        <v/>
      </c>
      <c r="AR75" s="145" t="str">
        <f ca="1">IF(COUNTA(N75),OFFSET($C75:N78,0,0,1,1),"")</f>
        <v>Production</v>
      </c>
      <c r="AS75" s="145" t="str">
        <f ca="1">IF(COUNTA(O75),OFFSET($C75:O78,0,0,1,1),"")</f>
        <v/>
      </c>
      <c r="AT75" s="80" t="str">
        <f ca="1">IF(COUNTA(P75),OFFSET($C75:P78,0,0,1,1),"")</f>
        <v>Production</v>
      </c>
      <c r="AU75" s="80" t="str">
        <f ca="1">IF(COUNTA(Q75),OFFSET($C75:Q78,0,0,1,1),"")</f>
        <v/>
      </c>
      <c r="AV75" s="145" t="str">
        <f ca="1">IF(COUNTA(R75),OFFSET($C75:R78,0,0,1,1),"")</f>
        <v>Production</v>
      </c>
      <c r="AW75" s="145" t="str">
        <f ca="1">IF(COUNTA(S75),OFFSET($C75:S78,0,0,1,1),"")</f>
        <v/>
      </c>
      <c r="AX75" s="80" t="str">
        <f ca="1">IF(COUNTA(T75),OFFSET($C75:T78,0,0,1,1),"")</f>
        <v>Production</v>
      </c>
      <c r="AY75" s="80" t="str">
        <f ca="1">IF(COUNTA(U75),OFFSET($C75:U78,0,0,1,1),"")</f>
        <v/>
      </c>
      <c r="AZ75" s="145" t="str">
        <f ca="1">IF(COUNTA(V75),OFFSET($C75:V78,0,0,1,1),"")</f>
        <v/>
      </c>
      <c r="BA75" s="145" t="str">
        <f ca="1">IF(COUNTA(W75),OFFSET($C75:W78,0,0,1,1),"")</f>
        <v/>
      </c>
      <c r="BB75" s="80" t="str">
        <f ca="1">IF(COUNTA(X75),OFFSET($C75:X78,0,0,1,1),"")</f>
        <v/>
      </c>
      <c r="BC75" s="80" t="str">
        <f ca="1">IF(COUNTA(Y75),OFFSET($C75:Y78,0,0,1,1),"")</f>
        <v/>
      </c>
      <c r="BD75" s="145" t="str">
        <f ca="1">IF(COUNTA(Z75),OFFSET($C75:Z78,0,0,1,1),"")</f>
        <v/>
      </c>
      <c r="BE75" s="145" t="str">
        <f ca="1">IF(COUNTA(AA75),OFFSET($C75:AA78,0,0,1,1),"")</f>
        <v/>
      </c>
      <c r="BF75" s="80" t="str">
        <f ca="1">IF(COUNTA(AB75),OFFSET($C75:AB78,0,0,1,1),"")</f>
        <v/>
      </c>
      <c r="BG75" s="80" t="str">
        <f ca="1">IF(COUNTA(AC75),OFFSET($C75:AC78,0,0,1,1),"")</f>
        <v/>
      </c>
      <c r="BH75" s="145" t="str">
        <f ca="1">IF(COUNTA(AD75),OFFSET($C75:AD78,0,0,1,1),"")</f>
        <v/>
      </c>
      <c r="BI75" s="145" t="str">
        <f ca="1">IF(COUNTA(AE75),OFFSET($C75:AE78,0,0,1,1),"")</f>
        <v/>
      </c>
    </row>
    <row r="76" spans="1:61" s="15" customFormat="1" ht="18.45" customHeight="1" x14ac:dyDescent="0.15">
      <c r="A76" s="212"/>
      <c r="B76" s="212"/>
      <c r="C76" s="99" t="s">
        <v>37</v>
      </c>
      <c r="D76" s="133" t="s">
        <v>130</v>
      </c>
      <c r="E76" s="83"/>
      <c r="F76" s="83" t="s">
        <v>137</v>
      </c>
      <c r="G76" s="83"/>
      <c r="H76" s="133" t="s">
        <v>130</v>
      </c>
      <c r="I76" s="83"/>
      <c r="J76" s="83" t="s">
        <v>145</v>
      </c>
      <c r="K76" s="83"/>
      <c r="L76" s="133" t="s">
        <v>178</v>
      </c>
      <c r="M76" s="83"/>
      <c r="N76" s="83" t="s">
        <v>131</v>
      </c>
      <c r="O76" s="83"/>
      <c r="P76" s="133" t="s">
        <v>132</v>
      </c>
      <c r="Q76" s="83"/>
      <c r="R76" s="83" t="s">
        <v>178</v>
      </c>
      <c r="S76" s="83"/>
      <c r="T76" s="133" t="s">
        <v>145</v>
      </c>
      <c r="U76" s="83"/>
      <c r="V76" s="83"/>
      <c r="W76" s="83"/>
      <c r="X76" s="133"/>
      <c r="Y76" s="83"/>
      <c r="Z76" s="83"/>
      <c r="AA76" s="83"/>
      <c r="AB76" s="133"/>
      <c r="AC76" s="83"/>
      <c r="AD76" s="83"/>
      <c r="AE76" s="178"/>
      <c r="AF76" s="36"/>
      <c r="AG76" s="18"/>
      <c r="AH76" s="82" t="str">
        <f ca="1">IF(COUNTA(D76),OFFSET($C76:D79,0,0,1,1),"")</f>
        <v>Production</v>
      </c>
      <c r="AI76" s="82" t="str">
        <f ca="1">IF(COUNTA(E76),OFFSET($C76:E79,0,0,1,1),"")</f>
        <v/>
      </c>
      <c r="AJ76" s="146" t="str">
        <f ca="1">IF(COUNTA(F76),OFFSET($C76:F79,0,0,1,1),"")</f>
        <v>Production</v>
      </c>
      <c r="AK76" s="146" t="str">
        <f ca="1">IF(COUNTA(G76),OFFSET($C76:G79,0,0,1,1),"")</f>
        <v/>
      </c>
      <c r="AL76" s="82" t="str">
        <f ca="1">IF(COUNTA(H76),OFFSET($C76:H79,0,0,1,1),"")</f>
        <v>Production</v>
      </c>
      <c r="AM76" s="82" t="str">
        <f ca="1">IF(COUNTA(I76),OFFSET($C76:I79,0,0,1,1),"")</f>
        <v/>
      </c>
      <c r="AN76" s="146" t="str">
        <f ca="1">IF(COUNTA(J76),OFFSET($C76:J79,0,0,1,1),"")</f>
        <v>Production</v>
      </c>
      <c r="AO76" s="146" t="str">
        <f ca="1">IF(COUNTA(K76),OFFSET($C76:K79,0,0,1,1),"")</f>
        <v/>
      </c>
      <c r="AP76" s="82" t="str">
        <f ca="1">IF(COUNTA(L76),OFFSET($C76:L79,0,0,1,1),"")</f>
        <v>Production</v>
      </c>
      <c r="AQ76" s="82" t="str">
        <f ca="1">IF(COUNTA(M76),OFFSET($C76:M79,0,0,1,1),"")</f>
        <v/>
      </c>
      <c r="AR76" s="146" t="str">
        <f ca="1">IF(COUNTA(N76),OFFSET($C76:N79,0,0,1,1),"")</f>
        <v>Production</v>
      </c>
      <c r="AS76" s="146" t="str">
        <f ca="1">IF(COUNTA(O76),OFFSET($C76:O79,0,0,1,1),"")</f>
        <v/>
      </c>
      <c r="AT76" s="82" t="str">
        <f ca="1">IF(COUNTA(P76),OFFSET($C76:P79,0,0,1,1),"")</f>
        <v>Production</v>
      </c>
      <c r="AU76" s="82" t="str">
        <f ca="1">IF(COUNTA(Q76),OFFSET($C76:Q79,0,0,1,1),"")</f>
        <v/>
      </c>
      <c r="AV76" s="146" t="str">
        <f ca="1">IF(COUNTA(R76),OFFSET($C76:R79,0,0,1,1),"")</f>
        <v>Production</v>
      </c>
      <c r="AW76" s="146" t="str">
        <f ca="1">IF(COUNTA(S76),OFFSET($C76:S79,0,0,1,1),"")</f>
        <v/>
      </c>
      <c r="AX76" s="82" t="str">
        <f ca="1">IF(COUNTA(T76),OFFSET($C76:T79,0,0,1,1),"")</f>
        <v>Production</v>
      </c>
      <c r="AY76" s="82" t="str">
        <f ca="1">IF(COUNTA(U76),OFFSET($C76:U79,0,0,1,1),"")</f>
        <v/>
      </c>
      <c r="AZ76" s="146" t="str">
        <f ca="1">IF(COUNTA(V76),OFFSET($C76:V79,0,0,1,1),"")</f>
        <v/>
      </c>
      <c r="BA76" s="146" t="str">
        <f ca="1">IF(COUNTA(W76),OFFSET($C76:W79,0,0,1,1),"")</f>
        <v/>
      </c>
      <c r="BB76" s="82" t="str">
        <f ca="1">IF(COUNTA(X76),OFFSET($C76:X79,0,0,1,1),"")</f>
        <v/>
      </c>
      <c r="BC76" s="82" t="str">
        <f ca="1">IF(COUNTA(Y76),OFFSET($C76:Y79,0,0,1,1),"")</f>
        <v/>
      </c>
      <c r="BD76" s="146" t="str">
        <f ca="1">IF(COUNTA(Z76),OFFSET($C76:Z79,0,0,1,1),"")</f>
        <v/>
      </c>
      <c r="BE76" s="146" t="str">
        <f ca="1">IF(COUNTA(AA76),OFFSET($C76:AA79,0,0,1,1),"")</f>
        <v/>
      </c>
      <c r="BF76" s="82" t="str">
        <f ca="1">IF(COUNTA(AB76),OFFSET($C76:AB79,0,0,1,1),"")</f>
        <v/>
      </c>
      <c r="BG76" s="82" t="str">
        <f ca="1">IF(COUNTA(AC76),OFFSET($C76:AC79,0,0,1,1),"")</f>
        <v/>
      </c>
      <c r="BH76" s="146" t="str">
        <f ca="1">IF(COUNTA(AD76),OFFSET($C76:AD79,0,0,1,1),"")</f>
        <v/>
      </c>
      <c r="BI76" s="146" t="str">
        <f ca="1">IF(COUNTA(AE76),OFFSET($C76:AE79,0,0,1,1),"")</f>
        <v/>
      </c>
    </row>
    <row r="77" spans="1:61" s="15" customFormat="1" ht="18.45" customHeight="1" x14ac:dyDescent="0.15">
      <c r="A77" s="212"/>
      <c r="B77" s="212"/>
      <c r="C77" s="99" t="s">
        <v>37</v>
      </c>
      <c r="D77" s="133" t="s">
        <v>131</v>
      </c>
      <c r="E77" s="83"/>
      <c r="F77" s="83" t="s">
        <v>138</v>
      </c>
      <c r="G77" s="83"/>
      <c r="H77" s="133" t="s">
        <v>132</v>
      </c>
      <c r="I77" s="83"/>
      <c r="J77" s="83" t="s">
        <v>132</v>
      </c>
      <c r="K77" s="83"/>
      <c r="L77" s="133" t="s">
        <v>132</v>
      </c>
      <c r="M77" s="83"/>
      <c r="N77" s="83" t="s">
        <v>137</v>
      </c>
      <c r="O77" s="83"/>
      <c r="P77" s="133" t="s">
        <v>133</v>
      </c>
      <c r="Q77" s="83"/>
      <c r="R77" s="83" t="s">
        <v>131</v>
      </c>
      <c r="S77" s="83"/>
      <c r="T77" s="133" t="s">
        <v>130</v>
      </c>
      <c r="U77" s="83"/>
      <c r="V77" s="83"/>
      <c r="W77" s="83"/>
      <c r="X77" s="133"/>
      <c r="Y77" s="83"/>
      <c r="Z77" s="83"/>
      <c r="AA77" s="83"/>
      <c r="AB77" s="133"/>
      <c r="AC77" s="83"/>
      <c r="AD77" s="83"/>
      <c r="AE77" s="178"/>
      <c r="AF77" s="36"/>
      <c r="AG77" s="18"/>
      <c r="AH77" s="82" t="str">
        <f ca="1">IF(COUNTA(D77),OFFSET($C77:D80,0,0,1,1),"")</f>
        <v>Production</v>
      </c>
      <c r="AI77" s="82" t="str">
        <f ca="1">IF(COUNTA(E77),OFFSET($C77:E80,0,0,1,1),"")</f>
        <v/>
      </c>
      <c r="AJ77" s="146" t="str">
        <f ca="1">IF(COUNTA(F77),OFFSET($C77:F80,0,0,1,1),"")</f>
        <v>Production</v>
      </c>
      <c r="AK77" s="146" t="str">
        <f ca="1">IF(COUNTA(G77),OFFSET($C77:G80,0,0,1,1),"")</f>
        <v/>
      </c>
      <c r="AL77" s="82" t="str">
        <f ca="1">IF(COUNTA(H77),OFFSET($C77:H80,0,0,1,1),"")</f>
        <v>Production</v>
      </c>
      <c r="AM77" s="82" t="str">
        <f ca="1">IF(COUNTA(I77),OFFSET($C77:I80,0,0,1,1),"")</f>
        <v/>
      </c>
      <c r="AN77" s="146" t="str">
        <f ca="1">IF(COUNTA(J77),OFFSET($C77:J80,0,0,1,1),"")</f>
        <v>Production</v>
      </c>
      <c r="AO77" s="146" t="str">
        <f ca="1">IF(COUNTA(K77),OFFSET($C77:K80,0,0,1,1),"")</f>
        <v/>
      </c>
      <c r="AP77" s="82" t="str">
        <f ca="1">IF(COUNTA(L77),OFFSET($C77:L80,0,0,1,1),"")</f>
        <v>Production</v>
      </c>
      <c r="AQ77" s="82" t="str">
        <f ca="1">IF(COUNTA(M77),OFFSET($C77:M80,0,0,1,1),"")</f>
        <v/>
      </c>
      <c r="AR77" s="146" t="str">
        <f ca="1">IF(COUNTA(N77),OFFSET($C77:N80,0,0,1,1),"")</f>
        <v>Production</v>
      </c>
      <c r="AS77" s="146" t="str">
        <f ca="1">IF(COUNTA(O77),OFFSET($C77:O80,0,0,1,1),"")</f>
        <v/>
      </c>
      <c r="AT77" s="82" t="str">
        <f ca="1">IF(COUNTA(P77),OFFSET($C77:P80,0,0,1,1),"")</f>
        <v>Production</v>
      </c>
      <c r="AU77" s="82" t="str">
        <f ca="1">IF(COUNTA(Q77),OFFSET($C77:Q80,0,0,1,1),"")</f>
        <v/>
      </c>
      <c r="AV77" s="146" t="str">
        <f ca="1">IF(COUNTA(R77),OFFSET($C77:R80,0,0,1,1),"")</f>
        <v>Production</v>
      </c>
      <c r="AW77" s="146" t="str">
        <f ca="1">IF(COUNTA(S77),OFFSET($C77:S80,0,0,1,1),"")</f>
        <v/>
      </c>
      <c r="AX77" s="82" t="str">
        <f ca="1">IF(COUNTA(T77),OFFSET($C77:T80,0,0,1,1),"")</f>
        <v>Production</v>
      </c>
      <c r="AY77" s="82" t="str">
        <f ca="1">IF(COUNTA(U77),OFFSET($C77:U80,0,0,1,1),"")</f>
        <v/>
      </c>
      <c r="AZ77" s="146" t="str">
        <f ca="1">IF(COUNTA(V77),OFFSET($C77:V80,0,0,1,1),"")</f>
        <v/>
      </c>
      <c r="BA77" s="146" t="str">
        <f ca="1">IF(COUNTA(W77),OFFSET($C77:W80,0,0,1,1),"")</f>
        <v/>
      </c>
      <c r="BB77" s="82" t="str">
        <f ca="1">IF(COUNTA(X77),OFFSET($C77:X80,0,0,1,1),"")</f>
        <v/>
      </c>
      <c r="BC77" s="82" t="str">
        <f ca="1">IF(COUNTA(Y77),OFFSET($C77:Y80,0,0,1,1),"")</f>
        <v/>
      </c>
      <c r="BD77" s="146" t="str">
        <f ca="1">IF(COUNTA(Z77),OFFSET($C77:Z80,0,0,1,1),"")</f>
        <v/>
      </c>
      <c r="BE77" s="146" t="str">
        <f ca="1">IF(COUNTA(AA77),OFFSET($C77:AA80,0,0,1,1),"")</f>
        <v/>
      </c>
      <c r="BF77" s="82" t="str">
        <f ca="1">IF(COUNTA(AB77),OFFSET($C77:AB80,0,0,1,1),"")</f>
        <v/>
      </c>
      <c r="BG77" s="82" t="str">
        <f ca="1">IF(COUNTA(AC77),OFFSET($C77:AC80,0,0,1,1),"")</f>
        <v/>
      </c>
      <c r="BH77" s="146" t="str">
        <f ca="1">IF(COUNTA(AD77),OFFSET($C77:AD80,0,0,1,1),"")</f>
        <v/>
      </c>
      <c r="BI77" s="146" t="str">
        <f ca="1">IF(COUNTA(AE77),OFFSET($C77:AE80,0,0,1,1),"")</f>
        <v/>
      </c>
    </row>
    <row r="78" spans="1:61" s="15" customFormat="1" ht="18.45" customHeight="1" x14ac:dyDescent="0.15">
      <c r="A78" s="212"/>
      <c r="B78" s="212"/>
      <c r="C78" s="99" t="s">
        <v>37</v>
      </c>
      <c r="D78" s="133" t="s">
        <v>132</v>
      </c>
      <c r="E78" s="83"/>
      <c r="F78" s="83" t="s">
        <v>139</v>
      </c>
      <c r="G78" s="83"/>
      <c r="H78" s="133" t="s">
        <v>133</v>
      </c>
      <c r="I78" s="83"/>
      <c r="J78" s="83" t="s">
        <v>133</v>
      </c>
      <c r="K78" s="83"/>
      <c r="L78" s="133" t="s">
        <v>133</v>
      </c>
      <c r="M78" s="83"/>
      <c r="N78" s="83" t="s">
        <v>138</v>
      </c>
      <c r="O78" s="83"/>
      <c r="P78" s="133" t="s">
        <v>134</v>
      </c>
      <c r="Q78" s="83"/>
      <c r="R78" s="83" t="s">
        <v>132</v>
      </c>
      <c r="S78" s="83"/>
      <c r="T78" s="133" t="s">
        <v>134</v>
      </c>
      <c r="U78" s="83"/>
      <c r="V78" s="83"/>
      <c r="W78" s="83"/>
      <c r="X78" s="133"/>
      <c r="Y78" s="83"/>
      <c r="Z78" s="83"/>
      <c r="AA78" s="83"/>
      <c r="AB78" s="133"/>
      <c r="AC78" s="83"/>
      <c r="AD78" s="83"/>
      <c r="AE78" s="178"/>
      <c r="AF78" s="36"/>
      <c r="AG78" s="18"/>
      <c r="AH78" s="82" t="str">
        <f ca="1">IF(COUNTA(D78),OFFSET($C78:D81,0,0,1,1),"")</f>
        <v>Production</v>
      </c>
      <c r="AI78" s="82" t="str">
        <f ca="1">IF(COUNTA(E78),OFFSET($C78:E81,0,0,1,1),"")</f>
        <v/>
      </c>
      <c r="AJ78" s="146" t="str">
        <f ca="1">IF(COUNTA(F78),OFFSET($C78:F81,0,0,1,1),"")</f>
        <v>Production</v>
      </c>
      <c r="AK78" s="146" t="str">
        <f ca="1">IF(COUNTA(G78),OFFSET($C78:G81,0,0,1,1),"")</f>
        <v/>
      </c>
      <c r="AL78" s="82" t="str">
        <f ca="1">IF(COUNTA(H78),OFFSET($C78:H81,0,0,1,1),"")</f>
        <v>Production</v>
      </c>
      <c r="AM78" s="82" t="str">
        <f ca="1">IF(COUNTA(I78),OFFSET($C78:I81,0,0,1,1),"")</f>
        <v/>
      </c>
      <c r="AN78" s="146" t="str">
        <f ca="1">IF(COUNTA(J78),OFFSET($C78:J81,0,0,1,1),"")</f>
        <v>Production</v>
      </c>
      <c r="AO78" s="146" t="str">
        <f ca="1">IF(COUNTA(K78),OFFSET($C78:K81,0,0,1,1),"")</f>
        <v/>
      </c>
      <c r="AP78" s="82" t="str">
        <f ca="1">IF(COUNTA(L78),OFFSET($C78:L81,0,0,1,1),"")</f>
        <v>Production</v>
      </c>
      <c r="AQ78" s="82" t="str">
        <f ca="1">IF(COUNTA(M78),OFFSET($C78:M81,0,0,1,1),"")</f>
        <v/>
      </c>
      <c r="AR78" s="146" t="str">
        <f ca="1">IF(COUNTA(N78),OFFSET($C78:N81,0,0,1,1),"")</f>
        <v>Production</v>
      </c>
      <c r="AS78" s="146" t="str">
        <f ca="1">IF(COUNTA(O78),OFFSET($C78:O81,0,0,1,1),"")</f>
        <v/>
      </c>
      <c r="AT78" s="82" t="str">
        <f ca="1">IF(COUNTA(P78),OFFSET($C78:P81,0,0,1,1),"")</f>
        <v>Production</v>
      </c>
      <c r="AU78" s="82" t="str">
        <f ca="1">IF(COUNTA(Q78),OFFSET($C78:Q81,0,0,1,1),"")</f>
        <v/>
      </c>
      <c r="AV78" s="146" t="str">
        <f ca="1">IF(COUNTA(R78),OFFSET($C78:R81,0,0,1,1),"")</f>
        <v>Production</v>
      </c>
      <c r="AW78" s="146" t="str">
        <f ca="1">IF(COUNTA(S78),OFFSET($C78:S81,0,0,1,1),"")</f>
        <v/>
      </c>
      <c r="AX78" s="82" t="str">
        <f ca="1">IF(COUNTA(T78),OFFSET($C78:T81,0,0,1,1),"")</f>
        <v>Production</v>
      </c>
      <c r="AY78" s="82" t="str">
        <f ca="1">IF(COUNTA(U78),OFFSET($C78:U81,0,0,1,1),"")</f>
        <v/>
      </c>
      <c r="AZ78" s="146" t="str">
        <f ca="1">IF(COUNTA(V78),OFFSET($C78:V81,0,0,1,1),"")</f>
        <v/>
      </c>
      <c r="BA78" s="146" t="str">
        <f ca="1">IF(COUNTA(W78),OFFSET($C78:W81,0,0,1,1),"")</f>
        <v/>
      </c>
      <c r="BB78" s="82" t="str">
        <f ca="1">IF(COUNTA(X78),OFFSET($C78:X81,0,0,1,1),"")</f>
        <v/>
      </c>
      <c r="BC78" s="82" t="str">
        <f ca="1">IF(COUNTA(Y78),OFFSET($C78:Y81,0,0,1,1),"")</f>
        <v/>
      </c>
      <c r="BD78" s="146" t="str">
        <f ca="1">IF(COUNTA(Z78),OFFSET($C78:Z81,0,0,1,1),"")</f>
        <v/>
      </c>
      <c r="BE78" s="146" t="str">
        <f ca="1">IF(COUNTA(AA78),OFFSET($C78:AA81,0,0,1,1),"")</f>
        <v/>
      </c>
      <c r="BF78" s="82" t="str">
        <f ca="1">IF(COUNTA(AB78),OFFSET($C78:AB81,0,0,1,1),"")</f>
        <v/>
      </c>
      <c r="BG78" s="82" t="str">
        <f ca="1">IF(COUNTA(AC78),OFFSET($C78:AC81,0,0,1,1),"")</f>
        <v/>
      </c>
      <c r="BH78" s="146" t="str">
        <f ca="1">IF(COUNTA(AD78),OFFSET($C78:AD81,0,0,1,1),"")</f>
        <v/>
      </c>
      <c r="BI78" s="146" t="str">
        <f ca="1">IF(COUNTA(AE78),OFFSET($C78:AE81,0,0,1,1),"")</f>
        <v/>
      </c>
    </row>
    <row r="79" spans="1:61" s="15" customFormat="1" ht="18.45" customHeight="1" x14ac:dyDescent="0.15">
      <c r="A79" s="212"/>
      <c r="B79" s="212"/>
      <c r="C79" s="99" t="s">
        <v>37</v>
      </c>
      <c r="D79" s="133" t="s">
        <v>133</v>
      </c>
      <c r="E79" s="83"/>
      <c r="F79" s="83"/>
      <c r="G79" s="83"/>
      <c r="H79" s="133" t="s">
        <v>134</v>
      </c>
      <c r="I79" s="83"/>
      <c r="J79" s="83" t="s">
        <v>138</v>
      </c>
      <c r="K79" s="83"/>
      <c r="L79" s="133" t="s">
        <v>134</v>
      </c>
      <c r="M79" s="83"/>
      <c r="N79" s="83" t="s">
        <v>147</v>
      </c>
      <c r="O79" s="83"/>
      <c r="P79" s="133" t="s">
        <v>137</v>
      </c>
      <c r="Q79" s="83"/>
      <c r="R79" s="83" t="s">
        <v>138</v>
      </c>
      <c r="S79" s="83"/>
      <c r="T79" s="133" t="s">
        <v>136</v>
      </c>
      <c r="U79" s="83"/>
      <c r="V79" s="83"/>
      <c r="W79" s="83"/>
      <c r="X79" s="133"/>
      <c r="Y79" s="83"/>
      <c r="Z79" s="83"/>
      <c r="AA79" s="83"/>
      <c r="AB79" s="133"/>
      <c r="AC79" s="83"/>
      <c r="AD79" s="83"/>
      <c r="AE79" s="178"/>
      <c r="AF79" s="36"/>
      <c r="AG79" s="18"/>
      <c r="AH79" s="82" t="str">
        <f ca="1">IF(COUNTA(D79),OFFSET($C79:D82,0,0,1,1),"")</f>
        <v>Production</v>
      </c>
      <c r="AI79" s="82" t="str">
        <f ca="1">IF(COUNTA(E79),OFFSET($C79:E82,0,0,1,1),"")</f>
        <v/>
      </c>
      <c r="AJ79" s="146" t="str">
        <f ca="1">IF(COUNTA(F79),OFFSET($C79:F82,0,0,1,1),"")</f>
        <v/>
      </c>
      <c r="AK79" s="146" t="str">
        <f ca="1">IF(COUNTA(G79),OFFSET($C79:G82,0,0,1,1),"")</f>
        <v/>
      </c>
      <c r="AL79" s="82" t="str">
        <f ca="1">IF(COUNTA(H79),OFFSET($C79:H82,0,0,1,1),"")</f>
        <v>Production</v>
      </c>
      <c r="AM79" s="82" t="str">
        <f ca="1">IF(COUNTA(I79),OFFSET($C79:I82,0,0,1,1),"")</f>
        <v/>
      </c>
      <c r="AN79" s="146" t="str">
        <f ca="1">IF(COUNTA(J79),OFFSET($C79:J82,0,0,1,1),"")</f>
        <v>Production</v>
      </c>
      <c r="AO79" s="146" t="str">
        <f ca="1">IF(COUNTA(K79),OFFSET($C79:K82,0,0,1,1),"")</f>
        <v/>
      </c>
      <c r="AP79" s="82" t="str">
        <f ca="1">IF(COUNTA(L79),OFFSET($C79:L82,0,0,1,1),"")</f>
        <v>Production</v>
      </c>
      <c r="AQ79" s="82" t="str">
        <f ca="1">IF(COUNTA(M79),OFFSET($C79:M82,0,0,1,1),"")</f>
        <v/>
      </c>
      <c r="AR79" s="146" t="str">
        <f ca="1">IF(COUNTA(N79),OFFSET($C79:N82,0,0,1,1),"")</f>
        <v>Production</v>
      </c>
      <c r="AS79" s="146" t="str">
        <f ca="1">IF(COUNTA(O79),OFFSET($C79:O82,0,0,1,1),"")</f>
        <v/>
      </c>
      <c r="AT79" s="82" t="str">
        <f ca="1">IF(COUNTA(P79),OFFSET($C79:P82,0,0,1,1),"")</f>
        <v>Production</v>
      </c>
      <c r="AU79" s="82" t="str">
        <f ca="1">IF(COUNTA(Q79),OFFSET($C79:Q82,0,0,1,1),"")</f>
        <v/>
      </c>
      <c r="AV79" s="146" t="str">
        <f ca="1">IF(COUNTA(R79),OFFSET($C79:R82,0,0,1,1),"")</f>
        <v>Production</v>
      </c>
      <c r="AW79" s="146" t="str">
        <f ca="1">IF(COUNTA(S79),OFFSET($C79:S82,0,0,1,1),"")</f>
        <v/>
      </c>
      <c r="AX79" s="82" t="str">
        <f ca="1">IF(COUNTA(T79),OFFSET($C79:T82,0,0,1,1),"")</f>
        <v>Production</v>
      </c>
      <c r="AY79" s="82" t="str">
        <f ca="1">IF(COUNTA(U79),OFFSET($C79:U82,0,0,1,1),"")</f>
        <v/>
      </c>
      <c r="AZ79" s="146" t="str">
        <f ca="1">IF(COUNTA(V79),OFFSET($C79:V82,0,0,1,1),"")</f>
        <v/>
      </c>
      <c r="BA79" s="146" t="str">
        <f ca="1">IF(COUNTA(W79),OFFSET($C79:W82,0,0,1,1),"")</f>
        <v/>
      </c>
      <c r="BB79" s="82" t="str">
        <f ca="1">IF(COUNTA(X79),OFFSET($C79:X82,0,0,1,1),"")</f>
        <v/>
      </c>
      <c r="BC79" s="82" t="str">
        <f ca="1">IF(COUNTA(Y79),OFFSET($C79:Y82,0,0,1,1),"")</f>
        <v/>
      </c>
      <c r="BD79" s="146" t="str">
        <f ca="1">IF(COUNTA(Z79),OFFSET($C79:Z82,0,0,1,1),"")</f>
        <v/>
      </c>
      <c r="BE79" s="146" t="str">
        <f ca="1">IF(COUNTA(AA79),OFFSET($C79:AA82,0,0,1,1),"")</f>
        <v/>
      </c>
      <c r="BF79" s="82" t="str">
        <f ca="1">IF(COUNTA(AB79),OFFSET($C79:AB82,0,0,1,1),"")</f>
        <v/>
      </c>
      <c r="BG79" s="82" t="str">
        <f ca="1">IF(COUNTA(AC79),OFFSET($C79:AC82,0,0,1,1),"")</f>
        <v/>
      </c>
      <c r="BH79" s="146" t="str">
        <f ca="1">IF(COUNTA(AD79),OFFSET($C79:AD82,0,0,1,1),"")</f>
        <v/>
      </c>
      <c r="BI79" s="146" t="str">
        <f ca="1">IF(COUNTA(AE79),OFFSET($C79:AE82,0,0,1,1),"")</f>
        <v/>
      </c>
    </row>
    <row r="80" spans="1:61" s="15" customFormat="1" ht="18.45" customHeight="1" x14ac:dyDescent="0.15">
      <c r="A80" s="212"/>
      <c r="B80" s="212"/>
      <c r="C80" s="99" t="s">
        <v>37</v>
      </c>
      <c r="D80" s="133" t="s">
        <v>134</v>
      </c>
      <c r="E80" s="83"/>
      <c r="F80" s="83" t="s">
        <v>140</v>
      </c>
      <c r="G80" s="83"/>
      <c r="H80" s="133" t="s">
        <v>137</v>
      </c>
      <c r="I80" s="83"/>
      <c r="J80" s="83" t="s">
        <v>179</v>
      </c>
      <c r="K80" s="83"/>
      <c r="L80" s="133" t="s">
        <v>136</v>
      </c>
      <c r="M80" s="83"/>
      <c r="N80" s="83" t="s">
        <v>135</v>
      </c>
      <c r="O80" s="83"/>
      <c r="P80" s="133" t="s">
        <v>138</v>
      </c>
      <c r="Q80" s="83"/>
      <c r="R80" s="83" t="s">
        <v>139</v>
      </c>
      <c r="S80" s="83"/>
      <c r="T80" s="133" t="s">
        <v>137</v>
      </c>
      <c r="U80" s="83"/>
      <c r="V80" s="83"/>
      <c r="W80" s="83"/>
      <c r="X80" s="133"/>
      <c r="Y80" s="83"/>
      <c r="Z80" s="83"/>
      <c r="AA80" s="83"/>
      <c r="AB80" s="133"/>
      <c r="AC80" s="83"/>
      <c r="AD80" s="83"/>
      <c r="AE80" s="178"/>
      <c r="AF80" s="36"/>
      <c r="AG80" s="18"/>
      <c r="AH80" s="82" t="str">
        <f ca="1">IF(COUNTA(D80),OFFSET($C80:D83,0,0,1,1),"")</f>
        <v>Production</v>
      </c>
      <c r="AI80" s="82" t="str">
        <f ca="1">IF(COUNTA(E80),OFFSET($C80:E83,0,0,1,1),"")</f>
        <v/>
      </c>
      <c r="AJ80" s="146" t="str">
        <f ca="1">IF(COUNTA(F80),OFFSET($C80:F83,0,0,1,1),"")</f>
        <v>Production</v>
      </c>
      <c r="AK80" s="146" t="str">
        <f ca="1">IF(COUNTA(G80),OFFSET($C80:G83,0,0,1,1),"")</f>
        <v/>
      </c>
      <c r="AL80" s="82" t="str">
        <f ca="1">IF(COUNTA(H80),OFFSET($C80:H83,0,0,1,1),"")</f>
        <v>Production</v>
      </c>
      <c r="AM80" s="82" t="str">
        <f ca="1">IF(COUNTA(I80),OFFSET($C80:I83,0,0,1,1),"")</f>
        <v/>
      </c>
      <c r="AN80" s="146" t="str">
        <f ca="1">IF(COUNTA(J80),OFFSET($C80:J83,0,0,1,1),"")</f>
        <v>Production</v>
      </c>
      <c r="AO80" s="146" t="str">
        <f ca="1">IF(COUNTA(K80),OFFSET($C80:K83,0,0,1,1),"")</f>
        <v/>
      </c>
      <c r="AP80" s="82" t="str">
        <f ca="1">IF(COUNTA(L80),OFFSET($C80:L83,0,0,1,1),"")</f>
        <v>Production</v>
      </c>
      <c r="AQ80" s="82" t="str">
        <f ca="1">IF(COUNTA(M80),OFFSET($C80:M83,0,0,1,1),"")</f>
        <v/>
      </c>
      <c r="AR80" s="146" t="str">
        <f ca="1">IF(COUNTA(N80),OFFSET($C80:N83,0,0,1,1),"")</f>
        <v>Production</v>
      </c>
      <c r="AS80" s="146" t="str">
        <f ca="1">IF(COUNTA(O80),OFFSET($C80:O83,0,0,1,1),"")</f>
        <v/>
      </c>
      <c r="AT80" s="82" t="str">
        <f ca="1">IF(COUNTA(P80),OFFSET($C80:P83,0,0,1,1),"")</f>
        <v>Production</v>
      </c>
      <c r="AU80" s="82" t="str">
        <f ca="1">IF(COUNTA(Q80),OFFSET($C80:Q83,0,0,1,1),"")</f>
        <v/>
      </c>
      <c r="AV80" s="146" t="str">
        <f ca="1">IF(COUNTA(R80),OFFSET($C80:R83,0,0,1,1),"")</f>
        <v>Production</v>
      </c>
      <c r="AW80" s="146" t="str">
        <f ca="1">IF(COUNTA(S80),OFFSET($C80:S83,0,0,1,1),"")</f>
        <v/>
      </c>
      <c r="AX80" s="82" t="str">
        <f ca="1">IF(COUNTA(T80),OFFSET($C80:T83,0,0,1,1),"")</f>
        <v>Production</v>
      </c>
      <c r="AY80" s="82" t="str">
        <f ca="1">IF(COUNTA(U80),OFFSET($C80:U83,0,0,1,1),"")</f>
        <v/>
      </c>
      <c r="AZ80" s="146" t="str">
        <f ca="1">IF(COUNTA(V80),OFFSET($C80:V83,0,0,1,1),"")</f>
        <v/>
      </c>
      <c r="BA80" s="146" t="str">
        <f ca="1">IF(COUNTA(W80),OFFSET($C80:W83,0,0,1,1),"")</f>
        <v/>
      </c>
      <c r="BB80" s="82" t="str">
        <f ca="1">IF(COUNTA(X80),OFFSET($C80:X83,0,0,1,1),"")</f>
        <v/>
      </c>
      <c r="BC80" s="82" t="str">
        <f ca="1">IF(COUNTA(Y80),OFFSET($C80:Y83,0,0,1,1),"")</f>
        <v/>
      </c>
      <c r="BD80" s="146" t="str">
        <f ca="1">IF(COUNTA(Z80),OFFSET($C80:Z83,0,0,1,1),"")</f>
        <v/>
      </c>
      <c r="BE80" s="146" t="str">
        <f ca="1">IF(COUNTA(AA80),OFFSET($C80:AA83,0,0,1,1),"")</f>
        <v/>
      </c>
      <c r="BF80" s="82" t="str">
        <f ca="1">IF(COUNTA(AB80),OFFSET($C80:AB83,0,0,1,1),"")</f>
        <v/>
      </c>
      <c r="BG80" s="82" t="str">
        <f ca="1">IF(COUNTA(AC80),OFFSET($C80:AC83,0,0,1,1),"")</f>
        <v/>
      </c>
      <c r="BH80" s="146" t="str">
        <f ca="1">IF(COUNTA(AD80),OFFSET($C80:AD83,0,0,1,1),"")</f>
        <v/>
      </c>
      <c r="BI80" s="146" t="str">
        <f ca="1">IF(COUNTA(AE80),OFFSET($C80:AE83,0,0,1,1),"")</f>
        <v/>
      </c>
    </row>
    <row r="81" spans="1:61" s="15" customFormat="1" ht="18.45" customHeight="1" x14ac:dyDescent="0.15">
      <c r="A81" s="212"/>
      <c r="B81" s="212"/>
      <c r="C81" s="99" t="s">
        <v>37</v>
      </c>
      <c r="D81" s="133" t="s">
        <v>138</v>
      </c>
      <c r="E81" s="83"/>
      <c r="F81" s="83"/>
      <c r="G81" s="83"/>
      <c r="H81" s="133" t="s">
        <v>138</v>
      </c>
      <c r="I81" s="83"/>
      <c r="J81" s="83" t="s">
        <v>147</v>
      </c>
      <c r="K81" s="83"/>
      <c r="L81" s="133" t="s">
        <v>137</v>
      </c>
      <c r="M81" s="83"/>
      <c r="N81" s="83" t="s">
        <v>139</v>
      </c>
      <c r="O81" s="83"/>
      <c r="P81" s="133" t="s">
        <v>179</v>
      </c>
      <c r="Q81" s="83"/>
      <c r="R81" s="83" t="s">
        <v>140</v>
      </c>
      <c r="S81" s="83"/>
      <c r="T81" s="133" t="s">
        <v>138</v>
      </c>
      <c r="U81" s="83"/>
      <c r="V81" s="83"/>
      <c r="W81" s="83"/>
      <c r="X81" s="133"/>
      <c r="Y81" s="83"/>
      <c r="Z81" s="83"/>
      <c r="AA81" s="83"/>
      <c r="AB81" s="133"/>
      <c r="AC81" s="83"/>
      <c r="AD81" s="83"/>
      <c r="AE81" s="178"/>
      <c r="AF81" s="36"/>
      <c r="AG81" s="18"/>
      <c r="AH81" s="82" t="str">
        <f ca="1">IF(COUNTA(D81),OFFSET($C81:D92,0,0,1,1),"")</f>
        <v>Production</v>
      </c>
      <c r="AI81" s="82" t="str">
        <f ca="1">IF(COUNTA(E81),OFFSET($C81:E92,0,0,1,1),"")</f>
        <v/>
      </c>
      <c r="AJ81" s="146" t="str">
        <f ca="1">IF(COUNTA(F81),OFFSET($C81:F92,0,0,1,1),"")</f>
        <v/>
      </c>
      <c r="AK81" s="146" t="str">
        <f ca="1">IF(COUNTA(G81),OFFSET($C81:G92,0,0,1,1),"")</f>
        <v/>
      </c>
      <c r="AL81" s="82" t="str">
        <f ca="1">IF(COUNTA(H81),OFFSET($C81:H92,0,0,1,1),"")</f>
        <v>Production</v>
      </c>
      <c r="AM81" s="82" t="str">
        <f ca="1">IF(COUNTA(I81),OFFSET($C81:I92,0,0,1,1),"")</f>
        <v/>
      </c>
      <c r="AN81" s="146" t="str">
        <f ca="1">IF(COUNTA(J81),OFFSET($C81:J92,0,0,1,1),"")</f>
        <v>Production</v>
      </c>
      <c r="AO81" s="146" t="str">
        <f ca="1">IF(COUNTA(K81),OFFSET($C81:K92,0,0,1,1),"")</f>
        <v/>
      </c>
      <c r="AP81" s="82" t="str">
        <f ca="1">IF(COUNTA(L81),OFFSET($C81:L92,0,0,1,1),"")</f>
        <v>Production</v>
      </c>
      <c r="AQ81" s="82" t="str">
        <f ca="1">IF(COUNTA(M81),OFFSET($C81:M92,0,0,1,1),"")</f>
        <v/>
      </c>
      <c r="AR81" s="146" t="str">
        <f ca="1">IF(COUNTA(N81),OFFSET($C81:N92,0,0,1,1),"")</f>
        <v>Production</v>
      </c>
      <c r="AS81" s="146" t="str">
        <f ca="1">IF(COUNTA(O81),OFFSET($C81:O92,0,0,1,1),"")</f>
        <v/>
      </c>
      <c r="AT81" s="82" t="str">
        <f ca="1">IF(COUNTA(P81),OFFSET($C81:P92,0,0,1,1),"")</f>
        <v>Production</v>
      </c>
      <c r="AU81" s="82" t="str">
        <f ca="1">IF(COUNTA(Q81),OFFSET($C81:Q92,0,0,1,1),"")</f>
        <v/>
      </c>
      <c r="AV81" s="146" t="str">
        <f ca="1">IF(COUNTA(R81),OFFSET($C81:R92,0,0,1,1),"")</f>
        <v>Production</v>
      </c>
      <c r="AW81" s="146" t="str">
        <f ca="1">IF(COUNTA(S81),OFFSET($C81:S92,0,0,1,1),"")</f>
        <v/>
      </c>
      <c r="AX81" s="82" t="str">
        <f ca="1">IF(COUNTA(T81),OFFSET($C81:T92,0,0,1,1),"")</f>
        <v>Production</v>
      </c>
      <c r="AY81" s="82" t="str">
        <f ca="1">IF(COUNTA(U81),OFFSET($C81:U92,0,0,1,1),"")</f>
        <v/>
      </c>
      <c r="AZ81" s="146" t="str">
        <f ca="1">IF(COUNTA(V81),OFFSET($C81:V92,0,0,1,1),"")</f>
        <v/>
      </c>
      <c r="BA81" s="146" t="str">
        <f ca="1">IF(COUNTA(W81),OFFSET($C81:W92,0,0,1,1),"")</f>
        <v/>
      </c>
      <c r="BB81" s="82" t="str">
        <f ca="1">IF(COUNTA(X81),OFFSET($C81:X92,0,0,1,1),"")</f>
        <v/>
      </c>
      <c r="BC81" s="82" t="str">
        <f ca="1">IF(COUNTA(Y81),OFFSET($C81:Y92,0,0,1,1),"")</f>
        <v/>
      </c>
      <c r="BD81" s="146" t="str">
        <f ca="1">IF(COUNTA(Z81),OFFSET($C81:Z92,0,0,1,1),"")</f>
        <v/>
      </c>
      <c r="BE81" s="146" t="str">
        <f ca="1">IF(COUNTA(AA81),OFFSET($C81:AA92,0,0,1,1),"")</f>
        <v/>
      </c>
      <c r="BF81" s="82" t="str">
        <f ca="1">IF(COUNTA(AB81),OFFSET($C81:AB92,0,0,1,1),"")</f>
        <v/>
      </c>
      <c r="BG81" s="82" t="str">
        <f ca="1">IF(COUNTA(AC81),OFFSET($C81:AC92,0,0,1,1),"")</f>
        <v/>
      </c>
      <c r="BH81" s="146" t="str">
        <f ca="1">IF(COUNTA(AD81),OFFSET($C81:AD92,0,0,1,1),"")</f>
        <v/>
      </c>
      <c r="BI81" s="146" t="str">
        <f ca="1">IF(COUNTA(AE81),OFFSET($C81:AE92,0,0,1,1),"")</f>
        <v/>
      </c>
    </row>
    <row r="82" spans="1:61" s="15" customFormat="1" ht="18.45" customHeight="1" x14ac:dyDescent="0.15">
      <c r="A82" s="212"/>
      <c r="B82" s="212"/>
      <c r="C82" s="99" t="s">
        <v>37</v>
      </c>
      <c r="D82" s="133" t="s">
        <v>179</v>
      </c>
      <c r="E82" s="83"/>
      <c r="F82" s="83"/>
      <c r="G82" s="83"/>
      <c r="H82" s="133" t="s">
        <v>180</v>
      </c>
      <c r="I82" s="83"/>
      <c r="J82" s="83" t="s">
        <v>135</v>
      </c>
      <c r="K82" s="83"/>
      <c r="L82" s="133" t="s">
        <v>138</v>
      </c>
      <c r="M82" s="83"/>
      <c r="N82" s="83"/>
      <c r="O82" s="83"/>
      <c r="P82" s="133" t="s">
        <v>181</v>
      </c>
      <c r="Q82" s="83"/>
      <c r="R82" s="83"/>
      <c r="S82" s="83"/>
      <c r="T82" s="133" t="s">
        <v>179</v>
      </c>
      <c r="U82" s="83"/>
      <c r="V82" s="83"/>
      <c r="W82" s="83"/>
      <c r="X82" s="133"/>
      <c r="Y82" s="83"/>
      <c r="Z82" s="83"/>
      <c r="AA82" s="83"/>
      <c r="AB82" s="133"/>
      <c r="AC82" s="83"/>
      <c r="AD82" s="83"/>
      <c r="AE82" s="178"/>
      <c r="AF82" s="36"/>
      <c r="AG82" s="18"/>
      <c r="AH82" s="82" t="str">
        <f ca="1">IF(COUNTA(D82),OFFSET($C82:D93,0,0,1,1),"")</f>
        <v>Production</v>
      </c>
      <c r="AI82" s="82" t="str">
        <f ca="1">IF(COUNTA(E82),OFFSET($C82:E93,0,0,1,1),"")</f>
        <v/>
      </c>
      <c r="AJ82" s="146" t="str">
        <f ca="1">IF(COUNTA(F82),OFFSET($C82:F93,0,0,1,1),"")</f>
        <v/>
      </c>
      <c r="AK82" s="146" t="str">
        <f ca="1">IF(COUNTA(G82),OFFSET($C82:G93,0,0,1,1),"")</f>
        <v/>
      </c>
      <c r="AL82" s="82" t="str">
        <f ca="1">IF(COUNTA(H82),OFFSET($C82:H93,0,0,1,1),"")</f>
        <v>Production</v>
      </c>
      <c r="AM82" s="82" t="str">
        <f ca="1">IF(COUNTA(I82),OFFSET($C82:I93,0,0,1,1),"")</f>
        <v/>
      </c>
      <c r="AN82" s="146" t="str">
        <f ca="1">IF(COUNTA(J82),OFFSET($C82:J93,0,0,1,1),"")</f>
        <v>Production</v>
      </c>
      <c r="AO82" s="146" t="str">
        <f ca="1">IF(COUNTA(K82),OFFSET($C82:K93,0,0,1,1),"")</f>
        <v/>
      </c>
      <c r="AP82" s="82" t="str">
        <f ca="1">IF(COUNTA(L82),OFFSET($C82:L93,0,0,1,1),"")</f>
        <v>Production</v>
      </c>
      <c r="AQ82" s="82" t="str">
        <f ca="1">IF(COUNTA(M82),OFFSET($C82:M93,0,0,1,1),"")</f>
        <v/>
      </c>
      <c r="AR82" s="146" t="str">
        <f ca="1">IF(COUNTA(N82),OFFSET($C82:N93,0,0,1,1),"")</f>
        <v/>
      </c>
      <c r="AS82" s="146" t="str">
        <f ca="1">IF(COUNTA(O82),OFFSET($C82:O93,0,0,1,1),"")</f>
        <v/>
      </c>
      <c r="AT82" s="82" t="str">
        <f ca="1">IF(COUNTA(P82),OFFSET($C82:P93,0,0,1,1),"")</f>
        <v>Production</v>
      </c>
      <c r="AU82" s="82" t="str">
        <f ca="1">IF(COUNTA(Q82),OFFSET($C82:Q93,0,0,1,1),"")</f>
        <v/>
      </c>
      <c r="AV82" s="146" t="str">
        <f ca="1">IF(COUNTA(R82),OFFSET($C82:R93,0,0,1,1),"")</f>
        <v/>
      </c>
      <c r="AW82" s="146" t="str">
        <f ca="1">IF(COUNTA(S82),OFFSET($C82:S93,0,0,1,1),"")</f>
        <v/>
      </c>
      <c r="AX82" s="82" t="str">
        <f ca="1">IF(COUNTA(T82),OFFSET($C82:T93,0,0,1,1),"")</f>
        <v>Production</v>
      </c>
      <c r="AY82" s="82" t="str">
        <f ca="1">IF(COUNTA(U82),OFFSET($C82:U93,0,0,1,1),"")</f>
        <v/>
      </c>
      <c r="AZ82" s="146" t="str">
        <f ca="1">IF(COUNTA(V82),OFFSET($C82:V93,0,0,1,1),"")</f>
        <v/>
      </c>
      <c r="BA82" s="146" t="str">
        <f ca="1">IF(COUNTA(W82),OFFSET($C82:W93,0,0,1,1),"")</f>
        <v/>
      </c>
      <c r="BB82" s="82" t="str">
        <f ca="1">IF(COUNTA(X82),OFFSET($C82:X93,0,0,1,1),"")</f>
        <v/>
      </c>
      <c r="BC82" s="82" t="str">
        <f ca="1">IF(COUNTA(Y82),OFFSET($C82:Y93,0,0,1,1),"")</f>
        <v/>
      </c>
      <c r="BD82" s="146" t="str">
        <f ca="1">IF(COUNTA(Z82),OFFSET($C82:Z93,0,0,1,1),"")</f>
        <v/>
      </c>
      <c r="BE82" s="146" t="str">
        <f ca="1">IF(COUNTA(AA82),OFFSET($C82:AA93,0,0,1,1),"")</f>
        <v/>
      </c>
      <c r="BF82" s="82" t="str">
        <f ca="1">IF(COUNTA(AB82),OFFSET($C82:AB93,0,0,1,1),"")</f>
        <v/>
      </c>
      <c r="BG82" s="82" t="str">
        <f ca="1">IF(COUNTA(AC82),OFFSET($C82:AC93,0,0,1,1),"")</f>
        <v/>
      </c>
      <c r="BH82" s="146" t="str">
        <f ca="1">IF(COUNTA(AD82),OFFSET($C82:AD93,0,0,1,1),"")</f>
        <v/>
      </c>
      <c r="BI82" s="146" t="str">
        <f ca="1">IF(COUNTA(AE82),OFFSET($C82:AE93,0,0,1,1),"")</f>
        <v/>
      </c>
    </row>
    <row r="83" spans="1:61" s="15" customFormat="1" ht="18.45" customHeight="1" x14ac:dyDescent="0.15">
      <c r="A83" s="212"/>
      <c r="B83" s="212"/>
      <c r="C83" s="99" t="s">
        <v>37</v>
      </c>
      <c r="D83" s="133" t="s">
        <v>180</v>
      </c>
      <c r="E83" s="83"/>
      <c r="F83" s="83"/>
      <c r="G83" s="83"/>
      <c r="H83" s="133" t="s">
        <v>181</v>
      </c>
      <c r="I83" s="83"/>
      <c r="J83" s="83"/>
      <c r="K83" s="83"/>
      <c r="L83" s="133" t="s">
        <v>135</v>
      </c>
      <c r="M83" s="83"/>
      <c r="N83" s="83"/>
      <c r="O83" s="83"/>
      <c r="P83" s="133" t="s">
        <v>140</v>
      </c>
      <c r="Q83" s="83"/>
      <c r="R83" s="83"/>
      <c r="S83" s="83"/>
      <c r="T83" s="133" t="s">
        <v>180</v>
      </c>
      <c r="U83" s="83"/>
      <c r="V83" s="83"/>
      <c r="W83" s="83"/>
      <c r="X83" s="133"/>
      <c r="Y83" s="83"/>
      <c r="Z83" s="83"/>
      <c r="AA83" s="83"/>
      <c r="AB83" s="133"/>
      <c r="AC83" s="83"/>
      <c r="AD83" s="83"/>
      <c r="AE83" s="178"/>
      <c r="AF83" s="36"/>
      <c r="AG83" s="18"/>
      <c r="AH83" s="82" t="str">
        <f ca="1">IF(COUNTA(D83),OFFSET($C83:D94,0,0,1,1),"")</f>
        <v>Production</v>
      </c>
      <c r="AI83" s="82" t="str">
        <f ca="1">IF(COUNTA(E83),OFFSET($C83:E94,0,0,1,1),"")</f>
        <v/>
      </c>
      <c r="AJ83" s="146" t="str">
        <f ca="1">IF(COUNTA(F83),OFFSET($C83:F94,0,0,1,1),"")</f>
        <v/>
      </c>
      <c r="AK83" s="146" t="str">
        <f ca="1">IF(COUNTA(G83),OFFSET($C83:G94,0,0,1,1),"")</f>
        <v/>
      </c>
      <c r="AL83" s="82" t="str">
        <f ca="1">IF(COUNTA(H83),OFFSET($C83:H94,0,0,1,1),"")</f>
        <v>Production</v>
      </c>
      <c r="AM83" s="82" t="str">
        <f ca="1">IF(COUNTA(I83),OFFSET($C83:I94,0,0,1,1),"")</f>
        <v/>
      </c>
      <c r="AN83" s="146" t="str">
        <f ca="1">IF(COUNTA(J83),OFFSET($C83:J94,0,0,1,1),"")</f>
        <v/>
      </c>
      <c r="AO83" s="146" t="str">
        <f ca="1">IF(COUNTA(K83),OFFSET($C83:K94,0,0,1,1),"")</f>
        <v/>
      </c>
      <c r="AP83" s="82" t="str">
        <f ca="1">IF(COUNTA(L83),OFFSET($C83:L94,0,0,1,1),"")</f>
        <v>Production</v>
      </c>
      <c r="AQ83" s="82" t="str">
        <f ca="1">IF(COUNTA(M83),OFFSET($C83:M94,0,0,1,1),"")</f>
        <v/>
      </c>
      <c r="AR83" s="146" t="str">
        <f ca="1">IF(COUNTA(N83),OFFSET($C83:N94,0,0,1,1),"")</f>
        <v/>
      </c>
      <c r="AS83" s="146" t="str">
        <f ca="1">IF(COUNTA(O83),OFFSET($C83:O94,0,0,1,1),"")</f>
        <v/>
      </c>
      <c r="AT83" s="82" t="str">
        <f ca="1">IF(COUNTA(P83),OFFSET($C83:P94,0,0,1,1),"")</f>
        <v>Production</v>
      </c>
      <c r="AU83" s="82" t="str">
        <f ca="1">IF(COUNTA(Q83),OFFSET($C83:Q94,0,0,1,1),"")</f>
        <v/>
      </c>
      <c r="AV83" s="146" t="str">
        <f ca="1">IF(COUNTA(R83),OFFSET($C83:R94,0,0,1,1),"")</f>
        <v/>
      </c>
      <c r="AW83" s="146" t="str">
        <f ca="1">IF(COUNTA(S83),OFFSET($C83:S94,0,0,1,1),"")</f>
        <v/>
      </c>
      <c r="AX83" s="82" t="str">
        <f ca="1">IF(COUNTA(T83),OFFSET($C83:T94,0,0,1,1),"")</f>
        <v>Production</v>
      </c>
      <c r="AY83" s="82" t="str">
        <f ca="1">IF(COUNTA(U83),OFFSET($C83:U94,0,0,1,1),"")</f>
        <v/>
      </c>
      <c r="AZ83" s="146" t="str">
        <f ca="1">IF(COUNTA(V83),OFFSET($C83:V94,0,0,1,1),"")</f>
        <v/>
      </c>
      <c r="BA83" s="146" t="str">
        <f ca="1">IF(COUNTA(W83),OFFSET($C83:W94,0,0,1,1),"")</f>
        <v/>
      </c>
      <c r="BB83" s="82" t="str">
        <f ca="1">IF(COUNTA(X83),OFFSET($C83:X94,0,0,1,1),"")</f>
        <v/>
      </c>
      <c r="BC83" s="82" t="str">
        <f ca="1">IF(COUNTA(Y83),OFFSET($C83:Y94,0,0,1,1),"")</f>
        <v/>
      </c>
      <c r="BD83" s="146" t="str">
        <f ca="1">IF(COUNTA(Z83),OFFSET($C83:Z94,0,0,1,1),"")</f>
        <v/>
      </c>
      <c r="BE83" s="146" t="str">
        <f ca="1">IF(COUNTA(AA83),OFFSET($C83:AA94,0,0,1,1),"")</f>
        <v/>
      </c>
      <c r="BF83" s="82" t="str">
        <f ca="1">IF(COUNTA(AB83),OFFSET($C83:AB94,0,0,1,1),"")</f>
        <v/>
      </c>
      <c r="BG83" s="82" t="str">
        <f ca="1">IF(COUNTA(AC83),OFFSET($C83:AC94,0,0,1,1),"")</f>
        <v/>
      </c>
      <c r="BH83" s="146" t="str">
        <f ca="1">IF(COUNTA(AD83),OFFSET($C83:AD94,0,0,1,1),"")</f>
        <v/>
      </c>
      <c r="BI83" s="146" t="str">
        <f ca="1">IF(COUNTA(AE83),OFFSET($C83:AE94,0,0,1,1),"")</f>
        <v/>
      </c>
    </row>
    <row r="84" spans="1:61" s="15" customFormat="1" ht="18.45" customHeight="1" x14ac:dyDescent="0.15">
      <c r="A84" s="212"/>
      <c r="B84" s="212"/>
      <c r="C84" s="99" t="s">
        <v>37</v>
      </c>
      <c r="D84" s="133" t="s">
        <v>135</v>
      </c>
      <c r="E84" s="83"/>
      <c r="F84" s="83"/>
      <c r="G84" s="83"/>
      <c r="H84" s="133"/>
      <c r="I84" s="83"/>
      <c r="J84" s="83"/>
      <c r="K84" s="83"/>
      <c r="L84" s="133" t="s">
        <v>181</v>
      </c>
      <c r="M84" s="83"/>
      <c r="N84" s="83"/>
      <c r="O84" s="83"/>
      <c r="P84" s="133"/>
      <c r="Q84" s="83"/>
      <c r="R84" s="83"/>
      <c r="S84" s="83"/>
      <c r="T84" s="133" t="s">
        <v>135</v>
      </c>
      <c r="U84" s="83"/>
      <c r="V84" s="83"/>
      <c r="W84" s="83"/>
      <c r="X84" s="133"/>
      <c r="Y84" s="83"/>
      <c r="Z84" s="83"/>
      <c r="AA84" s="83"/>
      <c r="AB84" s="133"/>
      <c r="AC84" s="83"/>
      <c r="AD84" s="83"/>
      <c r="AE84" s="178"/>
      <c r="AF84" s="36"/>
      <c r="AG84" s="18"/>
      <c r="AH84" s="82" t="str">
        <f ca="1">IF(COUNTA(D84),OFFSET($C84:D92,0,0,1,1),"")</f>
        <v>Production</v>
      </c>
      <c r="AI84" s="82" t="str">
        <f ca="1">IF(COUNTA(E84),OFFSET($C84:E92,0,0,1,1),"")</f>
        <v/>
      </c>
      <c r="AJ84" s="146" t="str">
        <f ca="1">IF(COUNTA(F84),OFFSET($C84:F92,0,0,1,1),"")</f>
        <v/>
      </c>
      <c r="AK84" s="146" t="str">
        <f ca="1">IF(COUNTA(G84),OFFSET($C84:G92,0,0,1,1),"")</f>
        <v/>
      </c>
      <c r="AL84" s="82" t="str">
        <f ca="1">IF(COUNTA(H84),OFFSET($C84:H92,0,0,1,1),"")</f>
        <v/>
      </c>
      <c r="AM84" s="82" t="str">
        <f ca="1">IF(COUNTA(I84),OFFSET($C84:I92,0,0,1,1),"")</f>
        <v/>
      </c>
      <c r="AN84" s="146" t="str">
        <f ca="1">IF(COUNTA(J84),OFFSET($C84:J92,0,0,1,1),"")</f>
        <v/>
      </c>
      <c r="AO84" s="146" t="str">
        <f ca="1">IF(COUNTA(K84),OFFSET($C84:K92,0,0,1,1),"")</f>
        <v/>
      </c>
      <c r="AP84" s="82" t="str">
        <f ca="1">IF(COUNTA(L84),OFFSET($C84:L92,0,0,1,1),"")</f>
        <v>Production</v>
      </c>
      <c r="AQ84" s="82" t="str">
        <f ca="1">IF(COUNTA(M84),OFFSET($C84:M92,0,0,1,1),"")</f>
        <v/>
      </c>
      <c r="AR84" s="146" t="str">
        <f ca="1">IF(COUNTA(N84),OFFSET($C84:N92,0,0,1,1),"")</f>
        <v/>
      </c>
      <c r="AS84" s="146" t="str">
        <f ca="1">IF(COUNTA(O84),OFFSET($C84:O92,0,0,1,1),"")</f>
        <v/>
      </c>
      <c r="AT84" s="82" t="str">
        <f ca="1">IF(COUNTA(P84),OFFSET($C84:P92,0,0,1,1),"")</f>
        <v/>
      </c>
      <c r="AU84" s="82" t="str">
        <f ca="1">IF(COUNTA(Q84),OFFSET($C84:Q92,0,0,1,1),"")</f>
        <v/>
      </c>
      <c r="AV84" s="146" t="str">
        <f ca="1">IF(COUNTA(R84),OFFSET($C84:R92,0,0,1,1),"")</f>
        <v/>
      </c>
      <c r="AW84" s="146" t="str">
        <f ca="1">IF(COUNTA(S84),OFFSET($C84:S92,0,0,1,1),"")</f>
        <v/>
      </c>
      <c r="AX84" s="82" t="str">
        <f ca="1">IF(COUNTA(T84),OFFSET($C84:T92,0,0,1,1),"")</f>
        <v>Production</v>
      </c>
      <c r="AY84" s="82" t="str">
        <f ca="1">IF(COUNTA(U84),OFFSET($C84:U92,0,0,1,1),"")</f>
        <v/>
      </c>
      <c r="AZ84" s="146" t="str">
        <f ca="1">IF(COUNTA(V84),OFFSET($C84:V92,0,0,1,1),"")</f>
        <v/>
      </c>
      <c r="BA84" s="146" t="str">
        <f ca="1">IF(COUNTA(W84),OFFSET($C84:W92,0,0,1,1),"")</f>
        <v/>
      </c>
      <c r="BB84" s="82" t="str">
        <f ca="1">IF(COUNTA(X84),OFFSET($C84:X92,0,0,1,1),"")</f>
        <v/>
      </c>
      <c r="BC84" s="82" t="str">
        <f ca="1">IF(COUNTA(Y84),OFFSET($C84:Y92,0,0,1,1),"")</f>
        <v/>
      </c>
      <c r="BD84" s="146" t="str">
        <f ca="1">IF(COUNTA(Z84),OFFSET($C84:Z92,0,0,1,1),"")</f>
        <v/>
      </c>
      <c r="BE84" s="146" t="str">
        <f ca="1">IF(COUNTA(AA84),OFFSET($C84:AA92,0,0,1,1),"")</f>
        <v/>
      </c>
      <c r="BF84" s="82" t="str">
        <f ca="1">IF(COUNTA(AB84),OFFSET($C84:AB92,0,0,1,1),"")</f>
        <v/>
      </c>
      <c r="BG84" s="82" t="str">
        <f ca="1">IF(COUNTA(AC84),OFFSET($C84:AC92,0,0,1,1),"")</f>
        <v/>
      </c>
      <c r="BH84" s="146" t="str">
        <f ca="1">IF(COUNTA(AD84),OFFSET($C84:AD92,0,0,1,1),"")</f>
        <v/>
      </c>
      <c r="BI84" s="146" t="str">
        <f ca="1">IF(COUNTA(AE84),OFFSET($C84:AE92,0,0,1,1),"")</f>
        <v/>
      </c>
    </row>
    <row r="85" spans="1:61" s="15" customFormat="1" ht="18.45" hidden="1" customHeight="1" x14ac:dyDescent="0.15">
      <c r="A85" s="212"/>
      <c r="B85" s="212"/>
      <c r="C85" s="99" t="s">
        <v>37</v>
      </c>
      <c r="D85" s="133"/>
      <c r="E85" s="83"/>
      <c r="F85" s="83"/>
      <c r="G85" s="83"/>
      <c r="H85" s="133"/>
      <c r="I85" s="83"/>
      <c r="J85" s="83"/>
      <c r="K85" s="83"/>
      <c r="L85" s="133"/>
      <c r="M85" s="83"/>
      <c r="N85" s="83"/>
      <c r="O85" s="83"/>
      <c r="P85" s="133"/>
      <c r="Q85" s="83"/>
      <c r="R85" s="83"/>
      <c r="S85" s="83"/>
      <c r="T85" s="133"/>
      <c r="U85" s="83"/>
      <c r="V85" s="83"/>
      <c r="W85" s="83"/>
      <c r="X85" s="133"/>
      <c r="Y85" s="83"/>
      <c r="Z85" s="83"/>
      <c r="AA85" s="83"/>
      <c r="AB85" s="133"/>
      <c r="AC85" s="83"/>
      <c r="AD85" s="83"/>
      <c r="AE85" s="178"/>
      <c r="AF85" s="36"/>
      <c r="AG85" s="18"/>
      <c r="AH85" s="82" t="str">
        <f ca="1">IF(COUNTA(D85),OFFSET($C85:D93,0,0,1,1),"")</f>
        <v/>
      </c>
      <c r="AI85" s="82" t="str">
        <f ca="1">IF(COUNTA(E85),OFFSET($C85:E93,0,0,1,1),"")</f>
        <v/>
      </c>
      <c r="AJ85" s="146" t="str">
        <f ca="1">IF(COUNTA(F85),OFFSET($C85:F93,0,0,1,1),"")</f>
        <v/>
      </c>
      <c r="AK85" s="146" t="str">
        <f ca="1">IF(COUNTA(G85),OFFSET($C85:G93,0,0,1,1),"")</f>
        <v/>
      </c>
      <c r="AL85" s="82" t="str">
        <f ca="1">IF(COUNTA(H85),OFFSET($C85:H93,0,0,1,1),"")</f>
        <v/>
      </c>
      <c r="AM85" s="82" t="str">
        <f ca="1">IF(COUNTA(I85),OFFSET($C85:I93,0,0,1,1),"")</f>
        <v/>
      </c>
      <c r="AN85" s="146" t="str">
        <f ca="1">IF(COUNTA(J85),OFFSET($C85:J93,0,0,1,1),"")</f>
        <v/>
      </c>
      <c r="AO85" s="146" t="str">
        <f ca="1">IF(COUNTA(K85),OFFSET($C85:K93,0,0,1,1),"")</f>
        <v/>
      </c>
      <c r="AP85" s="82" t="str">
        <f ca="1">IF(COUNTA(L85),OFFSET($C85:L93,0,0,1,1),"")</f>
        <v/>
      </c>
      <c r="AQ85" s="82" t="str">
        <f ca="1">IF(COUNTA(M85),OFFSET($C85:M93,0,0,1,1),"")</f>
        <v/>
      </c>
      <c r="AR85" s="146" t="str">
        <f ca="1">IF(COUNTA(N85),OFFSET($C85:N93,0,0,1,1),"")</f>
        <v/>
      </c>
      <c r="AS85" s="146" t="str">
        <f ca="1">IF(COUNTA(O85),OFFSET($C85:O93,0,0,1,1),"")</f>
        <v/>
      </c>
      <c r="AT85" s="82" t="str">
        <f ca="1">IF(COUNTA(P85),OFFSET($C85:P93,0,0,1,1),"")</f>
        <v/>
      </c>
      <c r="AU85" s="82" t="str">
        <f ca="1">IF(COUNTA(Q85),OFFSET($C85:Q93,0,0,1,1),"")</f>
        <v/>
      </c>
      <c r="AV85" s="146" t="str">
        <f ca="1">IF(COUNTA(R85),OFFSET($C85:R93,0,0,1,1),"")</f>
        <v/>
      </c>
      <c r="AW85" s="146" t="str">
        <f ca="1">IF(COUNTA(S85),OFFSET($C85:S93,0,0,1,1),"")</f>
        <v/>
      </c>
      <c r="AX85" s="82" t="str">
        <f ca="1">IF(COUNTA(T85),OFFSET($C85:T93,0,0,1,1),"")</f>
        <v/>
      </c>
      <c r="AY85" s="82" t="str">
        <f ca="1">IF(COUNTA(U85),OFFSET($C85:U93,0,0,1,1),"")</f>
        <v/>
      </c>
      <c r="AZ85" s="146" t="str">
        <f ca="1">IF(COUNTA(V85),OFFSET($C85:V93,0,0,1,1),"")</f>
        <v/>
      </c>
      <c r="BA85" s="146" t="str">
        <f ca="1">IF(COUNTA(W85),OFFSET($C85:W93,0,0,1,1),"")</f>
        <v/>
      </c>
      <c r="BB85" s="82" t="str">
        <f ca="1">IF(COUNTA(X85),OFFSET($C85:X93,0,0,1,1),"")</f>
        <v/>
      </c>
      <c r="BC85" s="82" t="str">
        <f ca="1">IF(COUNTA(Y85),OFFSET($C85:Y93,0,0,1,1),"")</f>
        <v/>
      </c>
      <c r="BD85" s="146" t="str">
        <f ca="1">IF(COUNTA(Z85),OFFSET($C85:Z93,0,0,1,1),"")</f>
        <v/>
      </c>
      <c r="BE85" s="146" t="str">
        <f ca="1">IF(COUNTA(AA85),OFFSET($C85:AA93,0,0,1,1),"")</f>
        <v/>
      </c>
      <c r="BF85" s="82" t="str">
        <f ca="1">IF(COUNTA(AB85),OFFSET($C85:AB93,0,0,1,1),"")</f>
        <v/>
      </c>
      <c r="BG85" s="82" t="str">
        <f ca="1">IF(COUNTA(AC85),OFFSET($C85:AC93,0,0,1,1),"")</f>
        <v/>
      </c>
      <c r="BH85" s="146" t="str">
        <f ca="1">IF(COUNTA(AD85),OFFSET($C85:AD93,0,0,1,1),"")</f>
        <v/>
      </c>
      <c r="BI85" s="146" t="str">
        <f ca="1">IF(COUNTA(AE85),OFFSET($C85:AE93,0,0,1,1),"")</f>
        <v/>
      </c>
    </row>
    <row r="86" spans="1:61" s="15" customFormat="1" ht="18.45" hidden="1" customHeight="1" x14ac:dyDescent="0.15">
      <c r="A86" s="212"/>
      <c r="B86" s="212"/>
      <c r="C86" s="99" t="s">
        <v>37</v>
      </c>
      <c r="D86" s="133"/>
      <c r="E86" s="83"/>
      <c r="F86" s="83"/>
      <c r="G86" s="83"/>
      <c r="H86" s="133"/>
      <c r="I86" s="83"/>
      <c r="J86" s="83"/>
      <c r="K86" s="83"/>
      <c r="L86" s="133"/>
      <c r="M86" s="83"/>
      <c r="N86" s="83"/>
      <c r="O86" s="83"/>
      <c r="P86" s="133"/>
      <c r="Q86" s="83"/>
      <c r="R86" s="83"/>
      <c r="S86" s="83"/>
      <c r="T86" s="133"/>
      <c r="U86" s="83"/>
      <c r="V86" s="83"/>
      <c r="W86" s="83"/>
      <c r="X86" s="133"/>
      <c r="Y86" s="83"/>
      <c r="Z86" s="83"/>
      <c r="AA86" s="83"/>
      <c r="AB86" s="133"/>
      <c r="AC86" s="83"/>
      <c r="AD86" s="83"/>
      <c r="AE86" s="178"/>
      <c r="AF86" s="36"/>
      <c r="AG86" s="18"/>
      <c r="AH86" s="82" t="str">
        <f ca="1">IF(COUNTA(D86),OFFSET($C86:D94,0,0,1,1),"")</f>
        <v/>
      </c>
      <c r="AI86" s="82" t="str">
        <f ca="1">IF(COUNTA(E86),OFFSET($C86:E94,0,0,1,1),"")</f>
        <v/>
      </c>
      <c r="AJ86" s="146" t="str">
        <f ca="1">IF(COUNTA(F86),OFFSET($C86:F94,0,0,1,1),"")</f>
        <v/>
      </c>
      <c r="AK86" s="146" t="str">
        <f ca="1">IF(COUNTA(G86),OFFSET($C86:G94,0,0,1,1),"")</f>
        <v/>
      </c>
      <c r="AL86" s="82" t="str">
        <f ca="1">IF(COUNTA(H86),OFFSET($C86:H94,0,0,1,1),"")</f>
        <v/>
      </c>
      <c r="AM86" s="82" t="str">
        <f ca="1">IF(COUNTA(I86),OFFSET($C86:I94,0,0,1,1),"")</f>
        <v/>
      </c>
      <c r="AN86" s="146" t="str">
        <f ca="1">IF(COUNTA(J86),OFFSET($C86:J94,0,0,1,1),"")</f>
        <v/>
      </c>
      <c r="AO86" s="146" t="str">
        <f ca="1">IF(COUNTA(K86),OFFSET($C86:K94,0,0,1,1),"")</f>
        <v/>
      </c>
      <c r="AP86" s="82" t="str">
        <f ca="1">IF(COUNTA(L86),OFFSET($C86:L94,0,0,1,1),"")</f>
        <v/>
      </c>
      <c r="AQ86" s="82" t="str">
        <f ca="1">IF(COUNTA(M86),OFFSET($C86:M94,0,0,1,1),"")</f>
        <v/>
      </c>
      <c r="AR86" s="146" t="str">
        <f ca="1">IF(COUNTA(N86),OFFSET($C86:N94,0,0,1,1),"")</f>
        <v/>
      </c>
      <c r="AS86" s="146" t="str">
        <f ca="1">IF(COUNTA(O86),OFFSET($C86:O94,0,0,1,1),"")</f>
        <v/>
      </c>
      <c r="AT86" s="82" t="str">
        <f ca="1">IF(COUNTA(P86),OFFSET($C86:P94,0,0,1,1),"")</f>
        <v/>
      </c>
      <c r="AU86" s="82" t="str">
        <f ca="1">IF(COUNTA(Q86),OFFSET($C86:Q94,0,0,1,1),"")</f>
        <v/>
      </c>
      <c r="AV86" s="146" t="str">
        <f ca="1">IF(COUNTA(R86),OFFSET($C86:R94,0,0,1,1),"")</f>
        <v/>
      </c>
      <c r="AW86" s="146" t="str">
        <f ca="1">IF(COUNTA(S86),OFFSET($C86:S94,0,0,1,1),"")</f>
        <v/>
      </c>
      <c r="AX86" s="82" t="str">
        <f ca="1">IF(COUNTA(T86),OFFSET($C86:T94,0,0,1,1),"")</f>
        <v/>
      </c>
      <c r="AY86" s="82" t="str">
        <f ca="1">IF(COUNTA(U86),OFFSET($C86:U94,0,0,1,1),"")</f>
        <v/>
      </c>
      <c r="AZ86" s="146" t="str">
        <f ca="1">IF(COUNTA(V86),OFFSET($C86:V94,0,0,1,1),"")</f>
        <v/>
      </c>
      <c r="BA86" s="146" t="str">
        <f ca="1">IF(COUNTA(W86),OFFSET($C86:W94,0,0,1,1),"")</f>
        <v/>
      </c>
      <c r="BB86" s="82" t="str">
        <f ca="1">IF(COUNTA(X86),OFFSET($C86:X94,0,0,1,1),"")</f>
        <v/>
      </c>
      <c r="BC86" s="82" t="str">
        <f ca="1">IF(COUNTA(Y86),OFFSET($C86:Y94,0,0,1,1),"")</f>
        <v/>
      </c>
      <c r="BD86" s="146" t="str">
        <f ca="1">IF(COUNTA(Z86),OFFSET($C86:Z94,0,0,1,1),"")</f>
        <v/>
      </c>
      <c r="BE86" s="146" t="str">
        <f ca="1">IF(COUNTA(AA86),OFFSET($C86:AA94,0,0,1,1),"")</f>
        <v/>
      </c>
      <c r="BF86" s="82" t="str">
        <f ca="1">IF(COUNTA(AB86),OFFSET($C86:AB94,0,0,1,1),"")</f>
        <v/>
      </c>
      <c r="BG86" s="82" t="str">
        <f ca="1">IF(COUNTA(AC86),OFFSET($C86:AC94,0,0,1,1),"")</f>
        <v/>
      </c>
      <c r="BH86" s="146" t="str">
        <f ca="1">IF(COUNTA(AD86),OFFSET($C86:AD94,0,0,1,1),"")</f>
        <v/>
      </c>
      <c r="BI86" s="146" t="str">
        <f ca="1">IF(COUNTA(AE86),OFFSET($C86:AE94,0,0,1,1),"")</f>
        <v/>
      </c>
    </row>
    <row r="87" spans="1:61" s="15" customFormat="1" ht="18.45" hidden="1" customHeight="1" x14ac:dyDescent="0.15">
      <c r="A87" s="212"/>
      <c r="B87" s="212"/>
      <c r="C87" s="99" t="s">
        <v>37</v>
      </c>
      <c r="D87" s="133"/>
      <c r="E87" s="83"/>
      <c r="F87" s="83"/>
      <c r="G87" s="83"/>
      <c r="H87" s="133"/>
      <c r="I87" s="83"/>
      <c r="J87" s="83"/>
      <c r="K87" s="83"/>
      <c r="L87" s="133"/>
      <c r="M87" s="83"/>
      <c r="N87" s="83"/>
      <c r="O87" s="83"/>
      <c r="P87" s="133"/>
      <c r="Q87" s="83"/>
      <c r="R87" s="83"/>
      <c r="S87" s="83"/>
      <c r="T87" s="133"/>
      <c r="U87" s="83"/>
      <c r="V87" s="83"/>
      <c r="W87" s="83"/>
      <c r="X87" s="133"/>
      <c r="Y87" s="83"/>
      <c r="Z87" s="83"/>
      <c r="AA87" s="83"/>
      <c r="AB87" s="133"/>
      <c r="AC87" s="83"/>
      <c r="AD87" s="83"/>
      <c r="AE87" s="178"/>
      <c r="AF87" s="36"/>
      <c r="AG87" s="18"/>
      <c r="AH87" s="82" t="str">
        <f ca="1">IF(COUNTA(D87),OFFSET($C87:D95,0,0,1,1),"")</f>
        <v/>
      </c>
      <c r="AI87" s="82" t="str">
        <f ca="1">IF(COUNTA(E87),OFFSET($C87:E95,0,0,1,1),"")</f>
        <v/>
      </c>
      <c r="AJ87" s="146" t="str">
        <f ca="1">IF(COUNTA(F87),OFFSET($C87:F95,0,0,1,1),"")</f>
        <v/>
      </c>
      <c r="AK87" s="146" t="str">
        <f ca="1">IF(COUNTA(G87),OFFSET($C87:G95,0,0,1,1),"")</f>
        <v/>
      </c>
      <c r="AL87" s="82" t="str">
        <f ca="1">IF(COUNTA(H87),OFFSET($C87:H95,0,0,1,1),"")</f>
        <v/>
      </c>
      <c r="AM87" s="82" t="str">
        <f ca="1">IF(COUNTA(I87),OFFSET($C87:I95,0,0,1,1),"")</f>
        <v/>
      </c>
      <c r="AN87" s="146" t="str">
        <f ca="1">IF(COUNTA(J87),OFFSET($C87:J95,0,0,1,1),"")</f>
        <v/>
      </c>
      <c r="AO87" s="146" t="str">
        <f ca="1">IF(COUNTA(K87),OFFSET($C87:K95,0,0,1,1),"")</f>
        <v/>
      </c>
      <c r="AP87" s="82" t="str">
        <f ca="1">IF(COUNTA(L87),OFFSET($C87:L95,0,0,1,1),"")</f>
        <v/>
      </c>
      <c r="AQ87" s="82" t="str">
        <f ca="1">IF(COUNTA(M87),OFFSET($C87:M95,0,0,1,1),"")</f>
        <v/>
      </c>
      <c r="AR87" s="146" t="str">
        <f ca="1">IF(COUNTA(N87),OFFSET($C87:N95,0,0,1,1),"")</f>
        <v/>
      </c>
      <c r="AS87" s="146" t="str">
        <f ca="1">IF(COUNTA(O87),OFFSET($C87:O95,0,0,1,1),"")</f>
        <v/>
      </c>
      <c r="AT87" s="82" t="str">
        <f ca="1">IF(COUNTA(P87),OFFSET($C87:P95,0,0,1,1),"")</f>
        <v/>
      </c>
      <c r="AU87" s="82" t="str">
        <f ca="1">IF(COUNTA(Q87),OFFSET($C87:Q95,0,0,1,1),"")</f>
        <v/>
      </c>
      <c r="AV87" s="146" t="str">
        <f ca="1">IF(COUNTA(R87),OFFSET($C87:R95,0,0,1,1),"")</f>
        <v/>
      </c>
      <c r="AW87" s="146" t="str">
        <f ca="1">IF(COUNTA(S87),OFFSET($C87:S95,0,0,1,1),"")</f>
        <v/>
      </c>
      <c r="AX87" s="82" t="str">
        <f ca="1">IF(COUNTA(T87),OFFSET($C87:T95,0,0,1,1),"")</f>
        <v/>
      </c>
      <c r="AY87" s="82" t="str">
        <f ca="1">IF(COUNTA(U87),OFFSET($C87:U95,0,0,1,1),"")</f>
        <v/>
      </c>
      <c r="AZ87" s="146" t="str">
        <f ca="1">IF(COUNTA(V87),OFFSET($C87:V95,0,0,1,1),"")</f>
        <v/>
      </c>
      <c r="BA87" s="146" t="str">
        <f ca="1">IF(COUNTA(W87),OFFSET($C87:W95,0,0,1,1),"")</f>
        <v/>
      </c>
      <c r="BB87" s="82" t="str">
        <f ca="1">IF(COUNTA(X87),OFFSET($C87:X95,0,0,1,1),"")</f>
        <v/>
      </c>
      <c r="BC87" s="82" t="str">
        <f ca="1">IF(COUNTA(Y87),OFFSET($C87:Y95,0,0,1,1),"")</f>
        <v/>
      </c>
      <c r="BD87" s="146" t="str">
        <f ca="1">IF(COUNTA(Z87),OFFSET($C87:Z95,0,0,1,1),"")</f>
        <v/>
      </c>
      <c r="BE87" s="146" t="str">
        <f ca="1">IF(COUNTA(AA87),OFFSET($C87:AA95,0,0,1,1),"")</f>
        <v/>
      </c>
      <c r="BF87" s="82" t="str">
        <f ca="1">IF(COUNTA(AB87),OFFSET($C87:AB95,0,0,1,1),"")</f>
        <v/>
      </c>
      <c r="BG87" s="82" t="str">
        <f ca="1">IF(COUNTA(AC87),OFFSET($C87:AC95,0,0,1,1),"")</f>
        <v/>
      </c>
      <c r="BH87" s="146" t="str">
        <f ca="1">IF(COUNTA(AD87),OFFSET($C87:AD95,0,0,1,1),"")</f>
        <v/>
      </c>
      <c r="BI87" s="146" t="str">
        <f ca="1">IF(COUNTA(AE87),OFFSET($C87:AE95,0,0,1,1),"")</f>
        <v/>
      </c>
    </row>
    <row r="88" spans="1:61" s="15" customFormat="1" ht="18.45" hidden="1" customHeight="1" x14ac:dyDescent="0.15">
      <c r="A88" s="212"/>
      <c r="B88" s="212"/>
      <c r="C88" s="99" t="s">
        <v>37</v>
      </c>
      <c r="D88" s="133"/>
      <c r="E88" s="83"/>
      <c r="F88" s="83"/>
      <c r="G88" s="83"/>
      <c r="H88" s="133"/>
      <c r="I88" s="83"/>
      <c r="J88" s="83"/>
      <c r="K88" s="83"/>
      <c r="L88" s="133"/>
      <c r="M88" s="83"/>
      <c r="N88" s="83"/>
      <c r="O88" s="83"/>
      <c r="P88" s="133"/>
      <c r="Q88" s="83"/>
      <c r="R88" s="83"/>
      <c r="S88" s="83"/>
      <c r="T88" s="133"/>
      <c r="U88" s="83"/>
      <c r="V88" s="83"/>
      <c r="W88" s="83"/>
      <c r="X88" s="133"/>
      <c r="Y88" s="83"/>
      <c r="Z88" s="83"/>
      <c r="AA88" s="83"/>
      <c r="AB88" s="133"/>
      <c r="AC88" s="83"/>
      <c r="AD88" s="83"/>
      <c r="AE88" s="178"/>
      <c r="AF88" s="36"/>
      <c r="AG88" s="18"/>
      <c r="AH88" s="82" t="str">
        <f ca="1">IF(COUNTA(D88),OFFSET($C88:D96,0,0,1,1),"")</f>
        <v/>
      </c>
      <c r="AI88" s="82" t="str">
        <f ca="1">IF(COUNTA(E88),OFFSET($C88:E96,0,0,1,1),"")</f>
        <v/>
      </c>
      <c r="AJ88" s="146" t="str">
        <f ca="1">IF(COUNTA(F88),OFFSET($C88:F96,0,0,1,1),"")</f>
        <v/>
      </c>
      <c r="AK88" s="146" t="str">
        <f ca="1">IF(COUNTA(G88),OFFSET($C88:G96,0,0,1,1),"")</f>
        <v/>
      </c>
      <c r="AL88" s="82" t="str">
        <f ca="1">IF(COUNTA(H88),OFFSET($C88:H96,0,0,1,1),"")</f>
        <v/>
      </c>
      <c r="AM88" s="82" t="str">
        <f ca="1">IF(COUNTA(I88),OFFSET($C88:I96,0,0,1,1),"")</f>
        <v/>
      </c>
      <c r="AN88" s="146" t="str">
        <f ca="1">IF(COUNTA(J88),OFFSET($C88:J96,0,0,1,1),"")</f>
        <v/>
      </c>
      <c r="AO88" s="146" t="str">
        <f ca="1">IF(COUNTA(K88),OFFSET($C88:K96,0,0,1,1),"")</f>
        <v/>
      </c>
      <c r="AP88" s="82" t="str">
        <f ca="1">IF(COUNTA(L88),OFFSET($C88:L96,0,0,1,1),"")</f>
        <v/>
      </c>
      <c r="AQ88" s="82" t="str">
        <f ca="1">IF(COUNTA(M88),OFFSET($C88:M96,0,0,1,1),"")</f>
        <v/>
      </c>
      <c r="AR88" s="146" t="str">
        <f ca="1">IF(COUNTA(N88),OFFSET($C88:N96,0,0,1,1),"")</f>
        <v/>
      </c>
      <c r="AS88" s="146" t="str">
        <f ca="1">IF(COUNTA(O88),OFFSET($C88:O96,0,0,1,1),"")</f>
        <v/>
      </c>
      <c r="AT88" s="82" t="str">
        <f ca="1">IF(COUNTA(P88),OFFSET($C88:P96,0,0,1,1),"")</f>
        <v/>
      </c>
      <c r="AU88" s="82" t="str">
        <f ca="1">IF(COUNTA(Q88),OFFSET($C88:Q96,0,0,1,1),"")</f>
        <v/>
      </c>
      <c r="AV88" s="146" t="str">
        <f ca="1">IF(COUNTA(R88),OFFSET($C88:R96,0,0,1,1),"")</f>
        <v/>
      </c>
      <c r="AW88" s="146" t="str">
        <f ca="1">IF(COUNTA(S88),OFFSET($C88:S96,0,0,1,1),"")</f>
        <v/>
      </c>
      <c r="AX88" s="82" t="str">
        <f ca="1">IF(COUNTA(T88),OFFSET($C88:T96,0,0,1,1),"")</f>
        <v/>
      </c>
      <c r="AY88" s="82" t="str">
        <f ca="1">IF(COUNTA(U88),OFFSET($C88:U96,0,0,1,1),"")</f>
        <v/>
      </c>
      <c r="AZ88" s="146" t="str">
        <f ca="1">IF(COUNTA(V88),OFFSET($C88:V96,0,0,1,1),"")</f>
        <v/>
      </c>
      <c r="BA88" s="146" t="str">
        <f ca="1">IF(COUNTA(W88),OFFSET($C88:W96,0,0,1,1),"")</f>
        <v/>
      </c>
      <c r="BB88" s="82" t="str">
        <f ca="1">IF(COUNTA(X88),OFFSET($C88:X96,0,0,1,1),"")</f>
        <v/>
      </c>
      <c r="BC88" s="82" t="str">
        <f ca="1">IF(COUNTA(Y88),OFFSET($C88:Y96,0,0,1,1),"")</f>
        <v/>
      </c>
      <c r="BD88" s="146" t="str">
        <f ca="1">IF(COUNTA(Z88),OFFSET($C88:Z96,0,0,1,1),"")</f>
        <v/>
      </c>
      <c r="BE88" s="146" t="str">
        <f ca="1">IF(COUNTA(AA88),OFFSET($C88:AA96,0,0,1,1),"")</f>
        <v/>
      </c>
      <c r="BF88" s="82" t="str">
        <f ca="1">IF(COUNTA(AB88),OFFSET($C88:AB96,0,0,1,1),"")</f>
        <v/>
      </c>
      <c r="BG88" s="82" t="str">
        <f ca="1">IF(COUNTA(AC88),OFFSET($C88:AC96,0,0,1,1),"")</f>
        <v/>
      </c>
      <c r="BH88" s="146" t="str">
        <f ca="1">IF(COUNTA(AD88),OFFSET($C88:AD96,0,0,1,1),"")</f>
        <v/>
      </c>
      <c r="BI88" s="146" t="str">
        <f ca="1">IF(COUNTA(AE88),OFFSET($C88:AE96,0,0,1,1),"")</f>
        <v/>
      </c>
    </row>
    <row r="89" spans="1:61" s="15" customFormat="1" ht="18.45" hidden="1" customHeight="1" x14ac:dyDescent="0.15">
      <c r="A89" s="212"/>
      <c r="B89" s="212"/>
      <c r="C89" s="99" t="s">
        <v>37</v>
      </c>
      <c r="D89" s="133"/>
      <c r="E89" s="83"/>
      <c r="F89" s="83"/>
      <c r="G89" s="83"/>
      <c r="H89" s="133"/>
      <c r="I89" s="83"/>
      <c r="J89" s="83"/>
      <c r="K89" s="83"/>
      <c r="L89" s="133"/>
      <c r="M89" s="83"/>
      <c r="N89" s="83"/>
      <c r="O89" s="83"/>
      <c r="P89" s="133"/>
      <c r="Q89" s="83"/>
      <c r="R89" s="83"/>
      <c r="S89" s="83"/>
      <c r="T89" s="133"/>
      <c r="U89" s="83"/>
      <c r="V89" s="83"/>
      <c r="W89" s="83"/>
      <c r="X89" s="133"/>
      <c r="Y89" s="83"/>
      <c r="Z89" s="83"/>
      <c r="AA89" s="83"/>
      <c r="AB89" s="133"/>
      <c r="AC89" s="83"/>
      <c r="AD89" s="83"/>
      <c r="AE89" s="178"/>
      <c r="AF89" s="36"/>
      <c r="AG89" s="18"/>
      <c r="AH89" s="82" t="str">
        <f ca="1">IF(COUNTA(D89),OFFSET($C89:D97,0,0,1,1),"")</f>
        <v/>
      </c>
      <c r="AI89" s="82" t="str">
        <f ca="1">IF(COUNTA(E89),OFFSET($C89:E97,0,0,1,1),"")</f>
        <v/>
      </c>
      <c r="AJ89" s="146" t="str">
        <f ca="1">IF(COUNTA(F89),OFFSET($C89:F97,0,0,1,1),"")</f>
        <v/>
      </c>
      <c r="AK89" s="146" t="str">
        <f ca="1">IF(COUNTA(G89),OFFSET($C89:G97,0,0,1,1),"")</f>
        <v/>
      </c>
      <c r="AL89" s="82" t="str">
        <f ca="1">IF(COUNTA(H89),OFFSET($C89:H97,0,0,1,1),"")</f>
        <v/>
      </c>
      <c r="AM89" s="82" t="str">
        <f ca="1">IF(COUNTA(I89),OFFSET($C89:I97,0,0,1,1),"")</f>
        <v/>
      </c>
      <c r="AN89" s="146" t="str">
        <f ca="1">IF(COUNTA(J89),OFFSET($C89:J97,0,0,1,1),"")</f>
        <v/>
      </c>
      <c r="AO89" s="146" t="str">
        <f ca="1">IF(COUNTA(K89),OFFSET($C89:K97,0,0,1,1),"")</f>
        <v/>
      </c>
      <c r="AP89" s="82" t="str">
        <f ca="1">IF(COUNTA(L89),OFFSET($C89:L97,0,0,1,1),"")</f>
        <v/>
      </c>
      <c r="AQ89" s="82" t="str">
        <f ca="1">IF(COUNTA(M89),OFFSET($C89:M97,0,0,1,1),"")</f>
        <v/>
      </c>
      <c r="AR89" s="146" t="str">
        <f ca="1">IF(COUNTA(N89),OFFSET($C89:N97,0,0,1,1),"")</f>
        <v/>
      </c>
      <c r="AS89" s="146" t="str">
        <f ca="1">IF(COUNTA(O89),OFFSET($C89:O97,0,0,1,1),"")</f>
        <v/>
      </c>
      <c r="AT89" s="82" t="str">
        <f ca="1">IF(COUNTA(P89),OFFSET($C89:P97,0,0,1,1),"")</f>
        <v/>
      </c>
      <c r="AU89" s="82" t="str">
        <f ca="1">IF(COUNTA(Q89),OFFSET($C89:Q97,0,0,1,1),"")</f>
        <v/>
      </c>
      <c r="AV89" s="146" t="str">
        <f ca="1">IF(COUNTA(R89),OFFSET($C89:R97,0,0,1,1),"")</f>
        <v/>
      </c>
      <c r="AW89" s="146" t="str">
        <f ca="1">IF(COUNTA(S89),OFFSET($C89:S97,0,0,1,1),"")</f>
        <v/>
      </c>
      <c r="AX89" s="82" t="str">
        <f ca="1">IF(COUNTA(T89),OFFSET($C89:T97,0,0,1,1),"")</f>
        <v/>
      </c>
      <c r="AY89" s="82" t="str">
        <f ca="1">IF(COUNTA(U89),OFFSET($C89:U97,0,0,1,1),"")</f>
        <v/>
      </c>
      <c r="AZ89" s="146" t="str">
        <f ca="1">IF(COUNTA(V89),OFFSET($C89:V97,0,0,1,1),"")</f>
        <v/>
      </c>
      <c r="BA89" s="146" t="str">
        <f ca="1">IF(COUNTA(W89),OFFSET($C89:W97,0,0,1,1),"")</f>
        <v/>
      </c>
      <c r="BB89" s="82" t="str">
        <f ca="1">IF(COUNTA(X89),OFFSET($C89:X97,0,0,1,1),"")</f>
        <v/>
      </c>
      <c r="BC89" s="82" t="str">
        <f ca="1">IF(COUNTA(Y89),OFFSET($C89:Y97,0,0,1,1),"")</f>
        <v/>
      </c>
      <c r="BD89" s="146" t="str">
        <f ca="1">IF(COUNTA(Z89),OFFSET($C89:Z97,0,0,1,1),"")</f>
        <v/>
      </c>
      <c r="BE89" s="146" t="str">
        <f ca="1">IF(COUNTA(AA89),OFFSET($C89:AA97,0,0,1,1),"")</f>
        <v/>
      </c>
      <c r="BF89" s="82" t="str">
        <f ca="1">IF(COUNTA(AB89),OFFSET($C89:AB97,0,0,1,1),"")</f>
        <v/>
      </c>
      <c r="BG89" s="82" t="str">
        <f ca="1">IF(COUNTA(AC89),OFFSET($C89:AC97,0,0,1,1),"")</f>
        <v/>
      </c>
      <c r="BH89" s="146" t="str">
        <f ca="1">IF(COUNTA(AD89),OFFSET($C89:AD97,0,0,1,1),"")</f>
        <v/>
      </c>
      <c r="BI89" s="146" t="str">
        <f ca="1">IF(COUNTA(AE89),OFFSET($C89:AE97,0,0,1,1),"")</f>
        <v/>
      </c>
    </row>
    <row r="90" spans="1:61" s="15" customFormat="1" ht="18.45" hidden="1" customHeight="1" x14ac:dyDescent="0.15">
      <c r="A90" s="212"/>
      <c r="B90" s="212"/>
      <c r="C90" s="99" t="s">
        <v>37</v>
      </c>
      <c r="D90" s="133"/>
      <c r="E90" s="83"/>
      <c r="F90" s="83"/>
      <c r="G90" s="83"/>
      <c r="H90" s="133"/>
      <c r="I90" s="83"/>
      <c r="J90" s="83"/>
      <c r="K90" s="83"/>
      <c r="L90" s="133"/>
      <c r="M90" s="83"/>
      <c r="N90" s="83"/>
      <c r="O90" s="83"/>
      <c r="P90" s="133"/>
      <c r="Q90" s="83"/>
      <c r="R90" s="83"/>
      <c r="S90" s="83"/>
      <c r="T90" s="133"/>
      <c r="U90" s="83"/>
      <c r="V90" s="83"/>
      <c r="W90" s="83"/>
      <c r="X90" s="133"/>
      <c r="Y90" s="83"/>
      <c r="Z90" s="83"/>
      <c r="AA90" s="83"/>
      <c r="AB90" s="133"/>
      <c r="AC90" s="83"/>
      <c r="AD90" s="83"/>
      <c r="AE90" s="178"/>
      <c r="AF90" s="36"/>
      <c r="AG90" s="18"/>
      <c r="AH90" s="82" t="str">
        <f ca="1">IF(COUNTA(D90),OFFSET($C90:D98,0,0,1,1),"")</f>
        <v/>
      </c>
      <c r="AI90" s="82" t="str">
        <f ca="1">IF(COUNTA(E90),OFFSET($C90:E98,0,0,1,1),"")</f>
        <v/>
      </c>
      <c r="AJ90" s="146" t="str">
        <f ca="1">IF(COUNTA(F90),OFFSET($C90:F98,0,0,1,1),"")</f>
        <v/>
      </c>
      <c r="AK90" s="146" t="str">
        <f ca="1">IF(COUNTA(G90),OFFSET($C90:G98,0,0,1,1),"")</f>
        <v/>
      </c>
      <c r="AL90" s="82" t="str">
        <f ca="1">IF(COUNTA(H90),OFFSET($C90:H98,0,0,1,1),"")</f>
        <v/>
      </c>
      <c r="AM90" s="82" t="str">
        <f ca="1">IF(COUNTA(I90),OFFSET($C90:I98,0,0,1,1),"")</f>
        <v/>
      </c>
      <c r="AN90" s="146" t="str">
        <f ca="1">IF(COUNTA(J90),OFFSET($C90:J98,0,0,1,1),"")</f>
        <v/>
      </c>
      <c r="AO90" s="146" t="str">
        <f ca="1">IF(COUNTA(K90),OFFSET($C90:K98,0,0,1,1),"")</f>
        <v/>
      </c>
      <c r="AP90" s="82" t="str">
        <f ca="1">IF(COUNTA(L90),OFFSET($C90:L98,0,0,1,1),"")</f>
        <v/>
      </c>
      <c r="AQ90" s="82" t="str">
        <f ca="1">IF(COUNTA(M90),OFFSET($C90:M98,0,0,1,1),"")</f>
        <v/>
      </c>
      <c r="AR90" s="146" t="str">
        <f ca="1">IF(COUNTA(N90),OFFSET($C90:N98,0,0,1,1),"")</f>
        <v/>
      </c>
      <c r="AS90" s="146" t="str">
        <f ca="1">IF(COUNTA(O90),OFFSET($C90:O98,0,0,1,1),"")</f>
        <v/>
      </c>
      <c r="AT90" s="82" t="str">
        <f ca="1">IF(COUNTA(P90),OFFSET($C90:P98,0,0,1,1),"")</f>
        <v/>
      </c>
      <c r="AU90" s="82" t="str">
        <f ca="1">IF(COUNTA(Q90),OFFSET($C90:Q98,0,0,1,1),"")</f>
        <v/>
      </c>
      <c r="AV90" s="146" t="str">
        <f ca="1">IF(COUNTA(R90),OFFSET($C90:R98,0,0,1,1),"")</f>
        <v/>
      </c>
      <c r="AW90" s="146" t="str">
        <f ca="1">IF(COUNTA(S90),OFFSET($C90:S98,0,0,1,1),"")</f>
        <v/>
      </c>
      <c r="AX90" s="82" t="str">
        <f ca="1">IF(COUNTA(T90),OFFSET($C90:T98,0,0,1,1),"")</f>
        <v/>
      </c>
      <c r="AY90" s="82" t="str">
        <f ca="1">IF(COUNTA(U90),OFFSET($C90:U98,0,0,1,1),"")</f>
        <v/>
      </c>
      <c r="AZ90" s="146" t="str">
        <f ca="1">IF(COUNTA(V90),OFFSET($C90:V98,0,0,1,1),"")</f>
        <v/>
      </c>
      <c r="BA90" s="146" t="str">
        <f ca="1">IF(COUNTA(W90),OFFSET($C90:W98,0,0,1,1),"")</f>
        <v/>
      </c>
      <c r="BB90" s="82" t="str">
        <f ca="1">IF(COUNTA(X90),OFFSET($C90:X98,0,0,1,1),"")</f>
        <v/>
      </c>
      <c r="BC90" s="82" t="str">
        <f ca="1">IF(COUNTA(Y90),OFFSET($C90:Y98,0,0,1,1),"")</f>
        <v/>
      </c>
      <c r="BD90" s="146" t="str">
        <f ca="1">IF(COUNTA(Z90),OFFSET($C90:Z98,0,0,1,1),"")</f>
        <v/>
      </c>
      <c r="BE90" s="146" t="str">
        <f ca="1">IF(COUNTA(AA90),OFFSET($C90:AA98,0,0,1,1),"")</f>
        <v/>
      </c>
      <c r="BF90" s="82" t="str">
        <f ca="1">IF(COUNTA(AB90),OFFSET($C90:AB98,0,0,1,1),"")</f>
        <v/>
      </c>
      <c r="BG90" s="82" t="str">
        <f ca="1">IF(COUNTA(AC90),OFFSET($C90:AC98,0,0,1,1),"")</f>
        <v/>
      </c>
      <c r="BH90" s="146" t="str">
        <f ca="1">IF(COUNTA(AD90),OFFSET($C90:AD98,0,0,1,1),"")</f>
        <v/>
      </c>
      <c r="BI90" s="146" t="str">
        <f ca="1">IF(COUNTA(AE90),OFFSET($C90:AE98,0,0,1,1),"")</f>
        <v/>
      </c>
    </row>
    <row r="91" spans="1:61" s="15" customFormat="1" ht="18.45" hidden="1" customHeight="1" x14ac:dyDescent="0.15">
      <c r="A91" s="212"/>
      <c r="B91" s="212"/>
      <c r="C91" s="99" t="s">
        <v>37</v>
      </c>
      <c r="D91" s="133"/>
      <c r="E91" s="83"/>
      <c r="F91" s="83"/>
      <c r="G91" s="83"/>
      <c r="H91" s="133"/>
      <c r="I91" s="83"/>
      <c r="J91" s="83"/>
      <c r="K91" s="83"/>
      <c r="L91" s="133"/>
      <c r="M91" s="83"/>
      <c r="N91" s="83"/>
      <c r="O91" s="83"/>
      <c r="P91" s="133"/>
      <c r="Q91" s="83"/>
      <c r="R91" s="83"/>
      <c r="S91" s="83"/>
      <c r="T91" s="133"/>
      <c r="U91" s="83"/>
      <c r="V91" s="83"/>
      <c r="W91" s="83"/>
      <c r="X91" s="133"/>
      <c r="Y91" s="83"/>
      <c r="Z91" s="83"/>
      <c r="AA91" s="83"/>
      <c r="AB91" s="133"/>
      <c r="AC91" s="83"/>
      <c r="AD91" s="83"/>
      <c r="AE91" s="178"/>
      <c r="AF91" s="36"/>
      <c r="AG91" s="18"/>
      <c r="AH91" s="82" t="str">
        <f ca="1">IF(COUNTA(D91),OFFSET($C91:D94,0,0,1,1),"")</f>
        <v/>
      </c>
      <c r="AI91" s="82" t="str">
        <f ca="1">IF(COUNTA(E91),OFFSET($C91:E94,0,0,1,1),"")</f>
        <v/>
      </c>
      <c r="AJ91" s="146" t="str">
        <f ca="1">IF(COUNTA(F91),OFFSET($C91:F94,0,0,1,1),"")</f>
        <v/>
      </c>
      <c r="AK91" s="146" t="str">
        <f ca="1">IF(COUNTA(G91),OFFSET($C91:G94,0,0,1,1),"")</f>
        <v/>
      </c>
      <c r="AL91" s="82" t="str">
        <f ca="1">IF(COUNTA(H91),OFFSET($C91:H94,0,0,1,1),"")</f>
        <v/>
      </c>
      <c r="AM91" s="82" t="str">
        <f ca="1">IF(COUNTA(I91),OFFSET($C91:I94,0,0,1,1),"")</f>
        <v/>
      </c>
      <c r="AN91" s="146" t="str">
        <f ca="1">IF(COUNTA(J91),OFFSET($C91:J94,0,0,1,1),"")</f>
        <v/>
      </c>
      <c r="AO91" s="146" t="str">
        <f ca="1">IF(COUNTA(K91),OFFSET($C91:K94,0,0,1,1),"")</f>
        <v/>
      </c>
      <c r="AP91" s="82" t="str">
        <f ca="1">IF(COUNTA(L91),OFFSET($C91:L94,0,0,1,1),"")</f>
        <v/>
      </c>
      <c r="AQ91" s="82" t="str">
        <f ca="1">IF(COUNTA(M91),OFFSET($C91:M94,0,0,1,1),"")</f>
        <v/>
      </c>
      <c r="AR91" s="146" t="str">
        <f ca="1">IF(COUNTA(N91),OFFSET($C91:N94,0,0,1,1),"")</f>
        <v/>
      </c>
      <c r="AS91" s="146" t="str">
        <f ca="1">IF(COUNTA(O91),OFFSET($C91:O94,0,0,1,1),"")</f>
        <v/>
      </c>
      <c r="AT91" s="82" t="str">
        <f ca="1">IF(COUNTA(P91),OFFSET($C91:P94,0,0,1,1),"")</f>
        <v/>
      </c>
      <c r="AU91" s="82" t="str">
        <f ca="1">IF(COUNTA(Q91),OFFSET($C91:Q94,0,0,1,1),"")</f>
        <v/>
      </c>
      <c r="AV91" s="146" t="str">
        <f ca="1">IF(COUNTA(R91),OFFSET($C91:R94,0,0,1,1),"")</f>
        <v/>
      </c>
      <c r="AW91" s="146" t="str">
        <f ca="1">IF(COUNTA(S91),OFFSET($C91:S94,0,0,1,1),"")</f>
        <v/>
      </c>
      <c r="AX91" s="82" t="str">
        <f ca="1">IF(COUNTA(T91),OFFSET($C91:T94,0,0,1,1),"")</f>
        <v/>
      </c>
      <c r="AY91" s="82" t="str">
        <f ca="1">IF(COUNTA(U91),OFFSET($C91:U94,0,0,1,1),"")</f>
        <v/>
      </c>
      <c r="AZ91" s="146" t="str">
        <f ca="1">IF(COUNTA(V91),OFFSET($C91:V94,0,0,1,1),"")</f>
        <v/>
      </c>
      <c r="BA91" s="146" t="str">
        <f ca="1">IF(COUNTA(W91),OFFSET($C91:W94,0,0,1,1),"")</f>
        <v/>
      </c>
      <c r="BB91" s="82" t="str">
        <f ca="1">IF(COUNTA(X91),OFFSET($C91:X94,0,0,1,1),"")</f>
        <v/>
      </c>
      <c r="BC91" s="82" t="str">
        <f ca="1">IF(COUNTA(Y91),OFFSET($C91:Y94,0,0,1,1),"")</f>
        <v/>
      </c>
      <c r="BD91" s="146" t="str">
        <f ca="1">IF(COUNTA(Z91),OFFSET($C91:Z94,0,0,1,1),"")</f>
        <v/>
      </c>
      <c r="BE91" s="146" t="str">
        <f ca="1">IF(COUNTA(AA91),OFFSET($C91:AA94,0,0,1,1),"")</f>
        <v/>
      </c>
      <c r="BF91" s="82" t="str">
        <f ca="1">IF(COUNTA(AB91),OFFSET($C91:AB94,0,0,1,1),"")</f>
        <v/>
      </c>
      <c r="BG91" s="82" t="str">
        <f ca="1">IF(COUNTA(AC91),OFFSET($C91:AC94,0,0,1,1),"")</f>
        <v/>
      </c>
      <c r="BH91" s="146" t="str">
        <f ca="1">IF(COUNTA(AD91),OFFSET($C91:AD94,0,0,1,1),"")</f>
        <v/>
      </c>
      <c r="BI91" s="146" t="str">
        <f ca="1">IF(COUNTA(AE91),OFFSET($C91:AE94,0,0,1,1),"")</f>
        <v/>
      </c>
    </row>
    <row r="92" spans="1:61" s="15" customFormat="1" ht="18.45" hidden="1" customHeight="1" x14ac:dyDescent="0.15">
      <c r="A92" s="212"/>
      <c r="B92" s="212"/>
      <c r="C92" s="99" t="s">
        <v>37</v>
      </c>
      <c r="D92" s="133"/>
      <c r="E92" s="83"/>
      <c r="F92" s="83"/>
      <c r="G92" s="83"/>
      <c r="H92" s="133"/>
      <c r="I92" s="83"/>
      <c r="J92" s="83"/>
      <c r="K92" s="83"/>
      <c r="L92" s="133"/>
      <c r="M92" s="83"/>
      <c r="N92" s="83"/>
      <c r="O92" s="83"/>
      <c r="P92" s="133"/>
      <c r="Q92" s="83"/>
      <c r="R92" s="83"/>
      <c r="S92" s="83"/>
      <c r="T92" s="133"/>
      <c r="U92" s="83"/>
      <c r="V92" s="83"/>
      <c r="W92" s="83"/>
      <c r="X92" s="133"/>
      <c r="Y92" s="83"/>
      <c r="Z92" s="83"/>
      <c r="AA92" s="83"/>
      <c r="AB92" s="133"/>
      <c r="AC92" s="83"/>
      <c r="AD92" s="83"/>
      <c r="AE92" s="178"/>
      <c r="AF92" s="36"/>
      <c r="AG92" s="18"/>
      <c r="AH92" s="82" t="str">
        <f ca="1">IF(COUNTA(D92),OFFSET($C92:D95,0,0,1,1),"")</f>
        <v/>
      </c>
      <c r="AI92" s="82" t="str">
        <f ca="1">IF(COUNTA(E92),OFFSET($C92:E95,0,0,1,1),"")</f>
        <v/>
      </c>
      <c r="AJ92" s="146" t="str">
        <f ca="1">IF(COUNTA(F92),OFFSET($C92:F95,0,0,1,1),"")</f>
        <v/>
      </c>
      <c r="AK92" s="146" t="str">
        <f ca="1">IF(COUNTA(G92),OFFSET($C92:G95,0,0,1,1),"")</f>
        <v/>
      </c>
      <c r="AL92" s="82" t="str">
        <f ca="1">IF(COUNTA(H92),OFFSET($C92:H95,0,0,1,1),"")</f>
        <v/>
      </c>
      <c r="AM92" s="82" t="str">
        <f ca="1">IF(COUNTA(I92),OFFSET($C92:I95,0,0,1,1),"")</f>
        <v/>
      </c>
      <c r="AN92" s="146" t="str">
        <f ca="1">IF(COUNTA(J92),OFFSET($C92:J95,0,0,1,1),"")</f>
        <v/>
      </c>
      <c r="AO92" s="146" t="str">
        <f ca="1">IF(COUNTA(K92),OFFSET($C92:K95,0,0,1,1),"")</f>
        <v/>
      </c>
      <c r="AP92" s="82" t="str">
        <f ca="1">IF(COUNTA(L92),OFFSET($C92:L95,0,0,1,1),"")</f>
        <v/>
      </c>
      <c r="AQ92" s="82" t="str">
        <f ca="1">IF(COUNTA(M92),OFFSET($C92:M95,0,0,1,1),"")</f>
        <v/>
      </c>
      <c r="AR92" s="146" t="str">
        <f ca="1">IF(COUNTA(N92),OFFSET($C92:N95,0,0,1,1),"")</f>
        <v/>
      </c>
      <c r="AS92" s="146" t="str">
        <f ca="1">IF(COUNTA(O92),OFFSET($C92:O95,0,0,1,1),"")</f>
        <v/>
      </c>
      <c r="AT92" s="82" t="str">
        <f ca="1">IF(COUNTA(P92),OFFSET($C92:P95,0,0,1,1),"")</f>
        <v/>
      </c>
      <c r="AU92" s="82" t="str">
        <f ca="1">IF(COUNTA(Q92),OFFSET($C92:Q95,0,0,1,1),"")</f>
        <v/>
      </c>
      <c r="AV92" s="146" t="str">
        <f ca="1">IF(COUNTA(R92),OFFSET($C92:R95,0,0,1,1),"")</f>
        <v/>
      </c>
      <c r="AW92" s="146" t="str">
        <f ca="1">IF(COUNTA(S92),OFFSET($C92:S95,0,0,1,1),"")</f>
        <v/>
      </c>
      <c r="AX92" s="82" t="str">
        <f ca="1">IF(COUNTA(T92),OFFSET($C92:T95,0,0,1,1),"")</f>
        <v/>
      </c>
      <c r="AY92" s="82" t="str">
        <f ca="1">IF(COUNTA(U92),OFFSET($C92:U95,0,0,1,1),"")</f>
        <v/>
      </c>
      <c r="AZ92" s="146" t="str">
        <f ca="1">IF(COUNTA(V92),OFFSET($C92:V95,0,0,1,1),"")</f>
        <v/>
      </c>
      <c r="BA92" s="146" t="str">
        <f ca="1">IF(COUNTA(W92),OFFSET($C92:W95,0,0,1,1),"")</f>
        <v/>
      </c>
      <c r="BB92" s="82" t="str">
        <f ca="1">IF(COUNTA(X92),OFFSET($C92:X95,0,0,1,1),"")</f>
        <v/>
      </c>
      <c r="BC92" s="82" t="str">
        <f ca="1">IF(COUNTA(Y92),OFFSET($C92:Y95,0,0,1,1),"")</f>
        <v/>
      </c>
      <c r="BD92" s="146" t="str">
        <f ca="1">IF(COUNTA(Z92),OFFSET($C92:Z95,0,0,1,1),"")</f>
        <v/>
      </c>
      <c r="BE92" s="146" t="str">
        <f ca="1">IF(COUNTA(AA92),OFFSET($C92:AA95,0,0,1,1),"")</f>
        <v/>
      </c>
      <c r="BF92" s="82" t="str">
        <f ca="1">IF(COUNTA(AB92),OFFSET($C92:AB95,0,0,1,1),"")</f>
        <v/>
      </c>
      <c r="BG92" s="82" t="str">
        <f ca="1">IF(COUNTA(AC92),OFFSET($C92:AC95,0,0,1,1),"")</f>
        <v/>
      </c>
      <c r="BH92" s="146" t="str">
        <f ca="1">IF(COUNTA(AD92),OFFSET($C92:AD95,0,0,1,1),"")</f>
        <v/>
      </c>
      <c r="BI92" s="146" t="str">
        <f ca="1">IF(COUNTA(AE92),OFFSET($C92:AE95,0,0,1,1),"")</f>
        <v/>
      </c>
    </row>
    <row r="93" spans="1:61" s="15" customFormat="1" ht="18.45" hidden="1" customHeight="1" x14ac:dyDescent="0.15">
      <c r="A93" s="212"/>
      <c r="B93" s="212"/>
      <c r="C93" s="99" t="s">
        <v>37</v>
      </c>
      <c r="D93" s="133"/>
      <c r="E93" s="83"/>
      <c r="F93" s="83"/>
      <c r="G93" s="83"/>
      <c r="H93" s="133"/>
      <c r="I93" s="83"/>
      <c r="J93" s="83"/>
      <c r="K93" s="83"/>
      <c r="L93" s="133"/>
      <c r="M93" s="83"/>
      <c r="N93" s="83"/>
      <c r="O93" s="83"/>
      <c r="P93" s="133"/>
      <c r="Q93" s="83"/>
      <c r="R93" s="83"/>
      <c r="S93" s="83"/>
      <c r="T93" s="133"/>
      <c r="U93" s="83"/>
      <c r="V93" s="83"/>
      <c r="W93" s="83"/>
      <c r="X93" s="133"/>
      <c r="Y93" s="83"/>
      <c r="Z93" s="83"/>
      <c r="AA93" s="83"/>
      <c r="AB93" s="133"/>
      <c r="AC93" s="83"/>
      <c r="AD93" s="83"/>
      <c r="AE93" s="178"/>
      <c r="AF93" s="36"/>
      <c r="AG93" s="18"/>
      <c r="AH93" s="82" t="str">
        <f ca="1">IF(COUNTA(D93),OFFSET($C93:D103,0,0,1,1),"")</f>
        <v/>
      </c>
      <c r="AI93" s="82" t="str">
        <f ca="1">IF(COUNTA(E93),OFFSET($C93:E103,0,0,1,1),"")</f>
        <v/>
      </c>
      <c r="AJ93" s="146" t="str">
        <f ca="1">IF(COUNTA(F93),OFFSET($C93:F103,0,0,1,1),"")</f>
        <v/>
      </c>
      <c r="AK93" s="146" t="str">
        <f ca="1">IF(COUNTA(G93),OFFSET($C93:G103,0,0,1,1),"")</f>
        <v/>
      </c>
      <c r="AL93" s="82" t="str">
        <f ca="1">IF(COUNTA(H93),OFFSET($C93:H103,0,0,1,1),"")</f>
        <v/>
      </c>
      <c r="AM93" s="82" t="str">
        <f ca="1">IF(COUNTA(I93),OFFSET($C93:I103,0,0,1,1),"")</f>
        <v/>
      </c>
      <c r="AN93" s="146" t="str">
        <f ca="1">IF(COUNTA(J93),OFFSET($C93:J103,0,0,1,1),"")</f>
        <v/>
      </c>
      <c r="AO93" s="146" t="str">
        <f ca="1">IF(COUNTA(K93),OFFSET($C93:K103,0,0,1,1),"")</f>
        <v/>
      </c>
      <c r="AP93" s="82" t="str">
        <f ca="1">IF(COUNTA(L93),OFFSET($C93:L103,0,0,1,1),"")</f>
        <v/>
      </c>
      <c r="AQ93" s="82" t="str">
        <f ca="1">IF(COUNTA(M93),OFFSET($C93:M103,0,0,1,1),"")</f>
        <v/>
      </c>
      <c r="AR93" s="146" t="str">
        <f ca="1">IF(COUNTA(N93),OFFSET($C93:N103,0,0,1,1),"")</f>
        <v/>
      </c>
      <c r="AS93" s="146" t="str">
        <f ca="1">IF(COUNTA(O93),OFFSET($C93:O103,0,0,1,1),"")</f>
        <v/>
      </c>
      <c r="AT93" s="82" t="str">
        <f ca="1">IF(COUNTA(P93),OFFSET($C93:P103,0,0,1,1),"")</f>
        <v/>
      </c>
      <c r="AU93" s="82" t="str">
        <f ca="1">IF(COUNTA(Q93),OFFSET($C93:Q103,0,0,1,1),"")</f>
        <v/>
      </c>
      <c r="AV93" s="146" t="str">
        <f ca="1">IF(COUNTA(R93),OFFSET($C93:R103,0,0,1,1),"")</f>
        <v/>
      </c>
      <c r="AW93" s="146" t="str">
        <f ca="1">IF(COUNTA(S93),OFFSET($C93:S103,0,0,1,1),"")</f>
        <v/>
      </c>
      <c r="AX93" s="82" t="str">
        <f ca="1">IF(COUNTA(T93),OFFSET($C93:T103,0,0,1,1),"")</f>
        <v/>
      </c>
      <c r="AY93" s="82" t="str">
        <f ca="1">IF(COUNTA(U93),OFFSET($C93:U103,0,0,1,1),"")</f>
        <v/>
      </c>
      <c r="AZ93" s="146" t="str">
        <f ca="1">IF(COUNTA(V93),OFFSET($C93:V103,0,0,1,1),"")</f>
        <v/>
      </c>
      <c r="BA93" s="146" t="str">
        <f ca="1">IF(COUNTA(W93),OFFSET($C93:W103,0,0,1,1),"")</f>
        <v/>
      </c>
      <c r="BB93" s="82" t="str">
        <f ca="1">IF(COUNTA(X93),OFFSET($C93:X103,0,0,1,1),"")</f>
        <v/>
      </c>
      <c r="BC93" s="82" t="str">
        <f ca="1">IF(COUNTA(Y93),OFFSET($C93:Y103,0,0,1,1),"")</f>
        <v/>
      </c>
      <c r="BD93" s="146" t="str">
        <f ca="1">IF(COUNTA(Z93),OFFSET($C93:Z103,0,0,1,1),"")</f>
        <v/>
      </c>
      <c r="BE93" s="146" t="str">
        <f ca="1">IF(COUNTA(AA93),OFFSET($C93:AA103,0,0,1,1),"")</f>
        <v/>
      </c>
      <c r="BF93" s="82" t="str">
        <f ca="1">IF(COUNTA(AB93),OFFSET($C93:AB103,0,0,1,1),"")</f>
        <v/>
      </c>
      <c r="BG93" s="82" t="str">
        <f ca="1">IF(COUNTA(AC93),OFFSET($C93:AC103,0,0,1,1),"")</f>
        <v/>
      </c>
      <c r="BH93" s="146" t="str">
        <f ca="1">IF(COUNTA(AD93),OFFSET($C93:AD103,0,0,1,1),"")</f>
        <v/>
      </c>
      <c r="BI93" s="146" t="str">
        <f ca="1">IF(COUNTA(AE93),OFFSET($C93:AE103,0,0,1,1),"")</f>
        <v/>
      </c>
    </row>
    <row r="94" spans="1:61" s="15" customFormat="1" ht="18.45" hidden="1" customHeight="1" x14ac:dyDescent="0.15">
      <c r="A94" s="212"/>
      <c r="B94" s="212"/>
      <c r="C94" s="100" t="s">
        <v>37</v>
      </c>
      <c r="D94" s="134"/>
      <c r="E94" s="85"/>
      <c r="F94" s="85"/>
      <c r="G94" s="85"/>
      <c r="H94" s="134"/>
      <c r="I94" s="85"/>
      <c r="J94" s="85"/>
      <c r="K94" s="85"/>
      <c r="L94" s="134"/>
      <c r="M94" s="85"/>
      <c r="N94" s="85"/>
      <c r="O94" s="85"/>
      <c r="P94" s="134"/>
      <c r="Q94" s="85"/>
      <c r="R94" s="85"/>
      <c r="S94" s="85"/>
      <c r="T94" s="134"/>
      <c r="U94" s="85"/>
      <c r="V94" s="85"/>
      <c r="W94" s="85"/>
      <c r="X94" s="134"/>
      <c r="Y94" s="85"/>
      <c r="Z94" s="85"/>
      <c r="AA94" s="85"/>
      <c r="AB94" s="134"/>
      <c r="AC94" s="85"/>
      <c r="AD94" s="85"/>
      <c r="AE94" s="179"/>
      <c r="AF94" s="36"/>
      <c r="AG94" s="18"/>
      <c r="AH94" s="84" t="str">
        <f ca="1">IF(COUNTA(D94),OFFSET($C94:D104,0,0,1,1),"")</f>
        <v/>
      </c>
      <c r="AI94" s="84" t="str">
        <f ca="1">IF(COUNTA(E94),OFFSET($C94:E104,0,0,1,1),"")</f>
        <v/>
      </c>
      <c r="AJ94" s="147" t="str">
        <f ca="1">IF(COUNTA(F94),OFFSET($C94:F104,0,0,1,1),"")</f>
        <v/>
      </c>
      <c r="AK94" s="147" t="str">
        <f ca="1">IF(COUNTA(G94),OFFSET($C94:G104,0,0,1,1),"")</f>
        <v/>
      </c>
      <c r="AL94" s="84" t="str">
        <f ca="1">IF(COUNTA(H94),OFFSET($C94:H104,0,0,1,1),"")</f>
        <v/>
      </c>
      <c r="AM94" s="84" t="str">
        <f ca="1">IF(COUNTA(I94),OFFSET($C94:I104,0,0,1,1),"")</f>
        <v/>
      </c>
      <c r="AN94" s="147" t="str">
        <f ca="1">IF(COUNTA(J94),OFFSET($C94:J104,0,0,1,1),"")</f>
        <v/>
      </c>
      <c r="AO94" s="147" t="str">
        <f ca="1">IF(COUNTA(K94),OFFSET($C94:K104,0,0,1,1),"")</f>
        <v/>
      </c>
      <c r="AP94" s="84" t="str">
        <f ca="1">IF(COUNTA(L94),OFFSET($C94:L104,0,0,1,1),"")</f>
        <v/>
      </c>
      <c r="AQ94" s="84" t="str">
        <f ca="1">IF(COUNTA(M94),OFFSET($C94:M104,0,0,1,1),"")</f>
        <v/>
      </c>
      <c r="AR94" s="147" t="str">
        <f ca="1">IF(COUNTA(N94),OFFSET($C94:N104,0,0,1,1),"")</f>
        <v/>
      </c>
      <c r="AS94" s="147" t="str">
        <f ca="1">IF(COUNTA(O94),OFFSET($C94:O104,0,0,1,1),"")</f>
        <v/>
      </c>
      <c r="AT94" s="84" t="str">
        <f ca="1">IF(COUNTA(P94),OFFSET($C94:P104,0,0,1,1),"")</f>
        <v/>
      </c>
      <c r="AU94" s="84" t="str">
        <f ca="1">IF(COUNTA(Q94),OFFSET($C94:Q104,0,0,1,1),"")</f>
        <v/>
      </c>
      <c r="AV94" s="147" t="str">
        <f ca="1">IF(COUNTA(R94),OFFSET($C94:R104,0,0,1,1),"")</f>
        <v/>
      </c>
      <c r="AW94" s="147" t="str">
        <f ca="1">IF(COUNTA(S94),OFFSET($C94:S104,0,0,1,1),"")</f>
        <v/>
      </c>
      <c r="AX94" s="84" t="str">
        <f ca="1">IF(COUNTA(T94),OFFSET($C94:T104,0,0,1,1),"")</f>
        <v/>
      </c>
      <c r="AY94" s="84" t="str">
        <f ca="1">IF(COUNTA(U94),OFFSET($C94:U104,0,0,1,1),"")</f>
        <v/>
      </c>
      <c r="AZ94" s="147" t="str">
        <f ca="1">IF(COUNTA(V94),OFFSET($C94:V104,0,0,1,1),"")</f>
        <v/>
      </c>
      <c r="BA94" s="147" t="str">
        <f ca="1">IF(COUNTA(W94),OFFSET($C94:W104,0,0,1,1),"")</f>
        <v/>
      </c>
      <c r="BB94" s="84" t="str">
        <f ca="1">IF(COUNTA(X94),OFFSET($C94:X104,0,0,1,1),"")</f>
        <v/>
      </c>
      <c r="BC94" s="84" t="str">
        <f ca="1">IF(COUNTA(Y94),OFFSET($C94:Y104,0,0,1,1),"")</f>
        <v/>
      </c>
      <c r="BD94" s="147" t="str">
        <f ca="1">IF(COUNTA(Z94),OFFSET($C94:Z104,0,0,1,1),"")</f>
        <v/>
      </c>
      <c r="BE94" s="147" t="str">
        <f ca="1">IF(COUNTA(AA94),OFFSET($C94:AA104,0,0,1,1),"")</f>
        <v/>
      </c>
      <c r="BF94" s="84" t="str">
        <f ca="1">IF(COUNTA(AB94),OFFSET($C94:AB104,0,0,1,1),"")</f>
        <v/>
      </c>
      <c r="BG94" s="84" t="str">
        <f ca="1">IF(COUNTA(AC94),OFFSET($C94:AC104,0,0,1,1),"")</f>
        <v/>
      </c>
      <c r="BH94" s="147" t="str">
        <f ca="1">IF(COUNTA(AD94),OFFSET($C94:AD104,0,0,1,1),"")</f>
        <v/>
      </c>
      <c r="BI94" s="147" t="str">
        <f ca="1">IF(COUNTA(AE94),OFFSET($C94:AE104,0,0,1,1),"")</f>
        <v/>
      </c>
    </row>
    <row r="95" spans="1:61" s="15" customFormat="1" ht="18.45" customHeight="1" x14ac:dyDescent="0.15">
      <c r="A95" s="212"/>
      <c r="B95" s="211" t="s">
        <v>24</v>
      </c>
      <c r="C95" s="98" t="s">
        <v>24</v>
      </c>
      <c r="D95" s="132" t="s">
        <v>181</v>
      </c>
      <c r="E95" s="81"/>
      <c r="F95" s="81"/>
      <c r="G95" s="81"/>
      <c r="H95" s="132"/>
      <c r="I95" s="81"/>
      <c r="J95" s="81"/>
      <c r="K95" s="81"/>
      <c r="L95" s="132" t="s">
        <v>140</v>
      </c>
      <c r="M95" s="81"/>
      <c r="N95" s="81"/>
      <c r="O95" s="81"/>
      <c r="P95" s="132"/>
      <c r="Q95" s="81"/>
      <c r="R95" s="81"/>
      <c r="S95" s="81"/>
      <c r="T95" s="132" t="s">
        <v>181</v>
      </c>
      <c r="U95" s="81"/>
      <c r="V95" s="81"/>
      <c r="W95" s="81"/>
      <c r="X95" s="132"/>
      <c r="Y95" s="81"/>
      <c r="Z95" s="81"/>
      <c r="AA95" s="81"/>
      <c r="AB95" s="132"/>
      <c r="AC95" s="81"/>
      <c r="AD95" s="81"/>
      <c r="AE95" s="177"/>
      <c r="AF95" s="36"/>
      <c r="AG95" s="18"/>
      <c r="AH95" s="80" t="str">
        <f ca="1">IF(COUNTA(D95),OFFSET($C95:D105,0,0,1,1),"")</f>
        <v>Entretien</v>
      </c>
      <c r="AI95" s="80" t="str">
        <f ca="1">IF(COUNTA(E95),OFFSET($C95:E105,0,0,1,1),"")</f>
        <v/>
      </c>
      <c r="AJ95" s="145" t="str">
        <f ca="1">IF(COUNTA(F95),OFFSET($C95:F105,0,0,1,1),"")</f>
        <v/>
      </c>
      <c r="AK95" s="145" t="str">
        <f ca="1">IF(COUNTA(G95),OFFSET($C95:G105,0,0,1,1),"")</f>
        <v/>
      </c>
      <c r="AL95" s="80" t="str">
        <f ca="1">IF(COUNTA(H95),OFFSET($C95:H105,0,0,1,1),"")</f>
        <v/>
      </c>
      <c r="AM95" s="80" t="str">
        <f ca="1">IF(COUNTA(I95),OFFSET($C95:I105,0,0,1,1),"")</f>
        <v/>
      </c>
      <c r="AN95" s="145" t="str">
        <f ca="1">IF(COUNTA(J95),OFFSET($C95:J105,0,0,1,1),"")</f>
        <v/>
      </c>
      <c r="AO95" s="145" t="str">
        <f ca="1">IF(COUNTA(K95),OFFSET($C95:K105,0,0,1,1),"")</f>
        <v/>
      </c>
      <c r="AP95" s="80" t="str">
        <f ca="1">IF(COUNTA(L95),OFFSET($C95:L105,0,0,1,1),"")</f>
        <v>Entretien</v>
      </c>
      <c r="AQ95" s="80" t="str">
        <f ca="1">IF(COUNTA(M95),OFFSET($C95:M105,0,0,1,1),"")</f>
        <v/>
      </c>
      <c r="AR95" s="145" t="str">
        <f ca="1">IF(COUNTA(N95),OFFSET($C95:N105,0,0,1,1),"")</f>
        <v/>
      </c>
      <c r="AS95" s="145" t="str">
        <f ca="1">IF(COUNTA(O95),OFFSET($C95:O105,0,0,1,1),"")</f>
        <v/>
      </c>
      <c r="AT95" s="80" t="str">
        <f ca="1">IF(COUNTA(P95),OFFSET($C95:P105,0,0,1,1),"")</f>
        <v/>
      </c>
      <c r="AU95" s="80" t="str">
        <f ca="1">IF(COUNTA(Q95),OFFSET($C95:Q105,0,0,1,1),"")</f>
        <v/>
      </c>
      <c r="AV95" s="145" t="str">
        <f ca="1">IF(COUNTA(R95),OFFSET($C95:R105,0,0,1,1),"")</f>
        <v/>
      </c>
      <c r="AW95" s="145" t="str">
        <f ca="1">IF(COUNTA(S95),OFFSET($C95:S105,0,0,1,1),"")</f>
        <v/>
      </c>
      <c r="AX95" s="80" t="str">
        <f ca="1">IF(COUNTA(T95),OFFSET($C95:T105,0,0,1,1),"")</f>
        <v>Entretien</v>
      </c>
      <c r="AY95" s="80" t="str">
        <f ca="1">IF(COUNTA(U95),OFFSET($C95:U105,0,0,1,1),"")</f>
        <v/>
      </c>
      <c r="AZ95" s="145" t="str">
        <f ca="1">IF(COUNTA(V95),OFFSET($C95:V105,0,0,1,1),"")</f>
        <v/>
      </c>
      <c r="BA95" s="145" t="str">
        <f ca="1">IF(COUNTA(W95),OFFSET($C95:W105,0,0,1,1),"")</f>
        <v/>
      </c>
      <c r="BB95" s="80" t="str">
        <f ca="1">IF(COUNTA(X95),OFFSET($C95:X105,0,0,1,1),"")</f>
        <v/>
      </c>
      <c r="BC95" s="80" t="str">
        <f ca="1">IF(COUNTA(Y95),OFFSET($C95:Y105,0,0,1,1),"")</f>
        <v/>
      </c>
      <c r="BD95" s="145" t="str">
        <f ca="1">IF(COUNTA(Z95),OFFSET($C95:Z105,0,0,1,1),"")</f>
        <v/>
      </c>
      <c r="BE95" s="145" t="str">
        <f ca="1">IF(COUNTA(AA95),OFFSET($C95:AA105,0,0,1,1),"")</f>
        <v/>
      </c>
      <c r="BF95" s="80" t="str">
        <f ca="1">IF(COUNTA(AB95),OFFSET($C95:AB105,0,0,1,1),"")</f>
        <v/>
      </c>
      <c r="BG95" s="80" t="str">
        <f ca="1">IF(COUNTA(AC95),OFFSET($C95:AC105,0,0,1,1),"")</f>
        <v/>
      </c>
      <c r="BH95" s="145" t="str">
        <f ca="1">IF(COUNTA(AD95),OFFSET($C95:AD105,0,0,1,1),"")</f>
        <v/>
      </c>
      <c r="BI95" s="145" t="str">
        <f ca="1">IF(COUNTA(AE95),OFFSET($C95:AE105,0,0,1,1),"")</f>
        <v/>
      </c>
    </row>
    <row r="96" spans="1:61" s="15" customFormat="1" ht="18.45" customHeight="1" x14ac:dyDescent="0.15">
      <c r="A96" s="212"/>
      <c r="B96" s="212"/>
      <c r="C96" s="99" t="s">
        <v>24</v>
      </c>
      <c r="D96" s="89"/>
      <c r="E96" s="89"/>
      <c r="F96" s="89"/>
      <c r="G96" s="89"/>
      <c r="H96" s="150"/>
      <c r="I96" s="89"/>
      <c r="J96" s="89"/>
      <c r="K96" s="89"/>
      <c r="L96" s="150"/>
      <c r="M96" s="89"/>
      <c r="N96" s="89"/>
      <c r="O96" s="89"/>
      <c r="P96" s="150"/>
      <c r="Q96" s="89"/>
      <c r="R96" s="89"/>
      <c r="S96" s="89"/>
      <c r="T96" s="150"/>
      <c r="U96" s="89"/>
      <c r="V96" s="89"/>
      <c r="W96" s="89"/>
      <c r="X96" s="150"/>
      <c r="Y96" s="89"/>
      <c r="Z96" s="89"/>
      <c r="AA96" s="89"/>
      <c r="AB96" s="150"/>
      <c r="AC96" s="89"/>
      <c r="AD96" s="89"/>
      <c r="AE96" s="152"/>
      <c r="AF96" s="36"/>
      <c r="AG96" s="18"/>
      <c r="AH96" s="88" t="str">
        <f ca="1">IF(COUNTA(D96),OFFSET($C96:D105,0,0,1,1),"")</f>
        <v/>
      </c>
      <c r="AI96" s="88" t="str">
        <f ca="1">IF(COUNTA(E96),OFFSET($C96:E105,0,0,1,1),"")</f>
        <v/>
      </c>
      <c r="AJ96" s="148" t="str">
        <f ca="1">IF(COUNTA(F96),OFFSET($C96:F105,0,0,1,1),"")</f>
        <v/>
      </c>
      <c r="AK96" s="148" t="str">
        <f ca="1">IF(COUNTA(G96),OFFSET($C96:G105,0,0,1,1),"")</f>
        <v/>
      </c>
      <c r="AL96" s="88" t="str">
        <f ca="1">IF(COUNTA(H96),OFFSET($C96:H105,0,0,1,1),"")</f>
        <v/>
      </c>
      <c r="AM96" s="88" t="str">
        <f ca="1">IF(COUNTA(I96),OFFSET($C96:I105,0,0,1,1),"")</f>
        <v/>
      </c>
      <c r="AN96" s="148" t="str">
        <f ca="1">IF(COUNTA(J96),OFFSET($C96:J105,0,0,1,1),"")</f>
        <v/>
      </c>
      <c r="AO96" s="148" t="str">
        <f ca="1">IF(COUNTA(K96),OFFSET($C96:K105,0,0,1,1),"")</f>
        <v/>
      </c>
      <c r="AP96" s="88" t="str">
        <f ca="1">IF(COUNTA(L96),OFFSET($C96:L105,0,0,1,1),"")</f>
        <v/>
      </c>
      <c r="AQ96" s="88" t="str">
        <f ca="1">IF(COUNTA(M96),OFFSET($C96:M105,0,0,1,1),"")</f>
        <v/>
      </c>
      <c r="AR96" s="148" t="str">
        <f ca="1">IF(COUNTA(N96),OFFSET($C96:N105,0,0,1,1),"")</f>
        <v/>
      </c>
      <c r="AS96" s="148" t="str">
        <f ca="1">IF(COUNTA(O96),OFFSET($C96:O105,0,0,1,1),"")</f>
        <v/>
      </c>
      <c r="AT96" s="88" t="str">
        <f ca="1">IF(COUNTA(P96),OFFSET($C96:P105,0,0,1,1),"")</f>
        <v/>
      </c>
      <c r="AU96" s="88" t="str">
        <f ca="1">IF(COUNTA(Q96),OFFSET($C96:Q105,0,0,1,1),"")</f>
        <v/>
      </c>
      <c r="AV96" s="148" t="str">
        <f ca="1">IF(COUNTA(R96),OFFSET($C96:R105,0,0,1,1),"")</f>
        <v/>
      </c>
      <c r="AW96" s="148" t="str">
        <f ca="1">IF(COUNTA(S96),OFFSET($C96:S105,0,0,1,1),"")</f>
        <v/>
      </c>
      <c r="AX96" s="88" t="str">
        <f ca="1">IF(COUNTA(T96),OFFSET($C96:T105,0,0,1,1),"")</f>
        <v/>
      </c>
      <c r="AY96" s="88" t="str">
        <f ca="1">IF(COUNTA(U96),OFFSET($C96:U105,0,0,1,1),"")</f>
        <v/>
      </c>
      <c r="AZ96" s="148" t="str">
        <f ca="1">IF(COUNTA(V96),OFFSET($C96:V105,0,0,1,1),"")</f>
        <v/>
      </c>
      <c r="BA96" s="148" t="str">
        <f ca="1">IF(COUNTA(W96),OFFSET($C96:W105,0,0,1,1),"")</f>
        <v/>
      </c>
      <c r="BB96" s="88" t="str">
        <f ca="1">IF(COUNTA(X96),OFFSET($C96:X105,0,0,1,1),"")</f>
        <v/>
      </c>
      <c r="BC96" s="88" t="str">
        <f ca="1">IF(COUNTA(Y96),OFFSET($C96:Y105,0,0,1,1),"")</f>
        <v/>
      </c>
      <c r="BD96" s="148" t="str">
        <f ca="1">IF(COUNTA(Z96),OFFSET($C96:Z105,0,0,1,1),"")</f>
        <v/>
      </c>
      <c r="BE96" s="148" t="str">
        <f ca="1">IF(COUNTA(AA96),OFFSET($C96:AA105,0,0,1,1),"")</f>
        <v/>
      </c>
      <c r="BF96" s="88" t="str">
        <f ca="1">IF(COUNTA(AB96),OFFSET($C96:AB105,0,0,1,1),"")</f>
        <v/>
      </c>
      <c r="BG96" s="88" t="str">
        <f ca="1">IF(COUNTA(AC96),OFFSET($C96:AC105,0,0,1,1),"")</f>
        <v/>
      </c>
      <c r="BH96" s="148" t="str">
        <f ca="1">IF(COUNTA(AD96),OFFSET($C96:AD105,0,0,1,1),"")</f>
        <v/>
      </c>
      <c r="BI96" s="148" t="str">
        <f ca="1">IF(COUNTA(AE96),OFFSET($C96:AE105,0,0,1,1),"")</f>
        <v/>
      </c>
    </row>
    <row r="97" spans="1:61" s="15" customFormat="1" ht="18.45" hidden="1" customHeight="1" x14ac:dyDescent="0.15">
      <c r="A97" s="212"/>
      <c r="B97" s="212"/>
      <c r="C97" s="99" t="s">
        <v>24</v>
      </c>
      <c r="D97" s="89"/>
      <c r="E97" s="89"/>
      <c r="F97" s="89"/>
      <c r="G97" s="89"/>
      <c r="H97" s="150"/>
      <c r="I97" s="89"/>
      <c r="J97" s="89"/>
      <c r="K97" s="89"/>
      <c r="L97" s="150"/>
      <c r="M97" s="89"/>
      <c r="N97" s="89"/>
      <c r="O97" s="89"/>
      <c r="P97" s="150"/>
      <c r="Q97" s="89"/>
      <c r="R97" s="89"/>
      <c r="S97" s="89"/>
      <c r="T97" s="150"/>
      <c r="U97" s="89"/>
      <c r="V97" s="89"/>
      <c r="W97" s="89"/>
      <c r="X97" s="150"/>
      <c r="Y97" s="89"/>
      <c r="Z97" s="89"/>
      <c r="AA97" s="89"/>
      <c r="AB97" s="150"/>
      <c r="AC97" s="89"/>
      <c r="AD97" s="89"/>
      <c r="AE97" s="152"/>
      <c r="AF97" s="36"/>
      <c r="AG97" s="18"/>
      <c r="AH97" s="88" t="str">
        <f ca="1">IF(COUNTA(D97),OFFSET($C97:D100,0,0,1,1),"")</f>
        <v/>
      </c>
      <c r="AI97" s="88" t="str">
        <f ca="1">IF(COUNTA(E97),OFFSET($C97:E100,0,0,1,1),"")</f>
        <v/>
      </c>
      <c r="AJ97" s="148" t="str">
        <f ca="1">IF(COUNTA(F97),OFFSET($C97:F100,0,0,1,1),"")</f>
        <v/>
      </c>
      <c r="AK97" s="148" t="str">
        <f ca="1">IF(COUNTA(G97),OFFSET($C97:G100,0,0,1,1),"")</f>
        <v/>
      </c>
      <c r="AL97" s="88" t="str">
        <f ca="1">IF(COUNTA(H97),OFFSET($C97:H100,0,0,1,1),"")</f>
        <v/>
      </c>
      <c r="AM97" s="88" t="str">
        <f ca="1">IF(COUNTA(I97),OFFSET($C97:I100,0,0,1,1),"")</f>
        <v/>
      </c>
      <c r="AN97" s="148" t="str">
        <f ca="1">IF(COUNTA(J97),OFFSET($C97:J100,0,0,1,1),"")</f>
        <v/>
      </c>
      <c r="AO97" s="148" t="str">
        <f ca="1">IF(COUNTA(K97),OFFSET($C97:K100,0,0,1,1),"")</f>
        <v/>
      </c>
      <c r="AP97" s="88" t="str">
        <f ca="1">IF(COUNTA(L97),OFFSET($C97:L100,0,0,1,1),"")</f>
        <v/>
      </c>
      <c r="AQ97" s="88" t="str">
        <f ca="1">IF(COUNTA(M97),OFFSET($C97:M100,0,0,1,1),"")</f>
        <v/>
      </c>
      <c r="AR97" s="148" t="str">
        <f ca="1">IF(COUNTA(N97),OFFSET($C97:N100,0,0,1,1),"")</f>
        <v/>
      </c>
      <c r="AS97" s="148" t="str">
        <f ca="1">IF(COUNTA(O97),OFFSET($C97:O100,0,0,1,1),"")</f>
        <v/>
      </c>
      <c r="AT97" s="88" t="str">
        <f ca="1">IF(COUNTA(P97),OFFSET($C97:P100,0,0,1,1),"")</f>
        <v/>
      </c>
      <c r="AU97" s="88" t="str">
        <f ca="1">IF(COUNTA(Q97),OFFSET($C97:Q100,0,0,1,1),"")</f>
        <v/>
      </c>
      <c r="AV97" s="148" t="str">
        <f ca="1">IF(COUNTA(R97),OFFSET($C97:R100,0,0,1,1),"")</f>
        <v/>
      </c>
      <c r="AW97" s="148" t="str">
        <f ca="1">IF(COUNTA(S97),OFFSET($C97:S100,0,0,1,1),"")</f>
        <v/>
      </c>
      <c r="AX97" s="88" t="str">
        <f ca="1">IF(COUNTA(T97),OFFSET($C97:T100,0,0,1,1),"")</f>
        <v/>
      </c>
      <c r="AY97" s="88" t="str">
        <f ca="1">IF(COUNTA(U97),OFFSET($C97:U100,0,0,1,1),"")</f>
        <v/>
      </c>
      <c r="AZ97" s="148" t="str">
        <f ca="1">IF(COUNTA(V97),OFFSET($C97:V100,0,0,1,1),"")</f>
        <v/>
      </c>
      <c r="BA97" s="148" t="str">
        <f ca="1">IF(COUNTA(W97),OFFSET($C97:W100,0,0,1,1),"")</f>
        <v/>
      </c>
      <c r="BB97" s="88" t="str">
        <f ca="1">IF(COUNTA(X97),OFFSET($C97:X100,0,0,1,1),"")</f>
        <v/>
      </c>
      <c r="BC97" s="88" t="str">
        <f ca="1">IF(COUNTA(Y97),OFFSET($C97:Y100,0,0,1,1),"")</f>
        <v/>
      </c>
      <c r="BD97" s="148" t="str">
        <f ca="1">IF(COUNTA(Z97),OFFSET($C97:Z100,0,0,1,1),"")</f>
        <v/>
      </c>
      <c r="BE97" s="148" t="str">
        <f ca="1">IF(COUNTA(AA97),OFFSET($C97:AA100,0,0,1,1),"")</f>
        <v/>
      </c>
      <c r="BF97" s="88" t="str">
        <f ca="1">IF(COUNTA(AB97),OFFSET($C97:AB100,0,0,1,1),"")</f>
        <v/>
      </c>
      <c r="BG97" s="88" t="str">
        <f ca="1">IF(COUNTA(AC97),OFFSET($C97:AC100,0,0,1,1),"")</f>
        <v/>
      </c>
      <c r="BH97" s="148" t="str">
        <f ca="1">IF(COUNTA(AD97),OFFSET($C97:AD100,0,0,1,1),"")</f>
        <v/>
      </c>
      <c r="BI97" s="148" t="str">
        <f ca="1">IF(COUNTA(AE97),OFFSET($C97:AE100,0,0,1,1),"")</f>
        <v/>
      </c>
    </row>
    <row r="98" spans="1:61" s="15" customFormat="1" ht="18.45" hidden="1" customHeight="1" x14ac:dyDescent="0.15">
      <c r="A98" s="212"/>
      <c r="B98" s="212"/>
      <c r="C98" s="99" t="s">
        <v>24</v>
      </c>
      <c r="D98" s="89"/>
      <c r="E98" s="89"/>
      <c r="F98" s="89"/>
      <c r="G98" s="89"/>
      <c r="H98" s="150"/>
      <c r="I98" s="89"/>
      <c r="J98" s="89"/>
      <c r="K98" s="89"/>
      <c r="L98" s="150"/>
      <c r="M98" s="89"/>
      <c r="N98" s="89"/>
      <c r="O98" s="89"/>
      <c r="P98" s="150"/>
      <c r="Q98" s="89"/>
      <c r="R98" s="89"/>
      <c r="S98" s="89"/>
      <c r="T98" s="150"/>
      <c r="U98" s="89"/>
      <c r="V98" s="89"/>
      <c r="W98" s="89"/>
      <c r="X98" s="150"/>
      <c r="Y98" s="89"/>
      <c r="Z98" s="89"/>
      <c r="AA98" s="89"/>
      <c r="AB98" s="150"/>
      <c r="AC98" s="89"/>
      <c r="AD98" s="89"/>
      <c r="AE98" s="152"/>
      <c r="AF98" s="36"/>
      <c r="AG98" s="18"/>
      <c r="AH98" s="88" t="str">
        <f ca="1">IF(COUNTA(D98),OFFSET($C98:D101,0,0,1,1),"")</f>
        <v/>
      </c>
      <c r="AI98" s="88" t="str">
        <f ca="1">IF(COUNTA(E98),OFFSET($C98:E101,0,0,1,1),"")</f>
        <v/>
      </c>
      <c r="AJ98" s="148" t="str">
        <f ca="1">IF(COUNTA(F98),OFFSET($C98:F101,0,0,1,1),"")</f>
        <v/>
      </c>
      <c r="AK98" s="148" t="str">
        <f ca="1">IF(COUNTA(G98),OFFSET($C98:G101,0,0,1,1),"")</f>
        <v/>
      </c>
      <c r="AL98" s="88" t="str">
        <f ca="1">IF(COUNTA(H98),OFFSET($C98:H101,0,0,1,1),"")</f>
        <v/>
      </c>
      <c r="AM98" s="88" t="str">
        <f ca="1">IF(COUNTA(I98),OFFSET($C98:I101,0,0,1,1),"")</f>
        <v/>
      </c>
      <c r="AN98" s="148" t="str">
        <f ca="1">IF(COUNTA(J98),OFFSET($C98:J101,0,0,1,1),"")</f>
        <v/>
      </c>
      <c r="AO98" s="148" t="str">
        <f ca="1">IF(COUNTA(K98),OFFSET($C98:K101,0,0,1,1),"")</f>
        <v/>
      </c>
      <c r="AP98" s="88" t="str">
        <f ca="1">IF(COUNTA(L98),OFFSET($C98:L101,0,0,1,1),"")</f>
        <v/>
      </c>
      <c r="AQ98" s="88" t="str">
        <f ca="1">IF(COUNTA(M98),OFFSET($C98:M101,0,0,1,1),"")</f>
        <v/>
      </c>
      <c r="AR98" s="148" t="str">
        <f ca="1">IF(COUNTA(N98),OFFSET($C98:N101,0,0,1,1),"")</f>
        <v/>
      </c>
      <c r="AS98" s="148" t="str">
        <f ca="1">IF(COUNTA(O98),OFFSET($C98:O101,0,0,1,1),"")</f>
        <v/>
      </c>
      <c r="AT98" s="88" t="str">
        <f ca="1">IF(COUNTA(P98),OFFSET($C98:P101,0,0,1,1),"")</f>
        <v/>
      </c>
      <c r="AU98" s="88" t="str">
        <f ca="1">IF(COUNTA(Q98),OFFSET($C98:Q101,0,0,1,1),"")</f>
        <v/>
      </c>
      <c r="AV98" s="148" t="str">
        <f ca="1">IF(COUNTA(R98),OFFSET($C98:R101,0,0,1,1),"")</f>
        <v/>
      </c>
      <c r="AW98" s="148" t="str">
        <f ca="1">IF(COUNTA(S98),OFFSET($C98:S101,0,0,1,1),"")</f>
        <v/>
      </c>
      <c r="AX98" s="88" t="str">
        <f ca="1">IF(COUNTA(T98),OFFSET($C98:T101,0,0,1,1),"")</f>
        <v/>
      </c>
      <c r="AY98" s="88" t="str">
        <f ca="1">IF(COUNTA(U98),OFFSET($C98:U101,0,0,1,1),"")</f>
        <v/>
      </c>
      <c r="AZ98" s="148" t="str">
        <f ca="1">IF(COUNTA(V98),OFFSET($C98:V101,0,0,1,1),"")</f>
        <v/>
      </c>
      <c r="BA98" s="148" t="str">
        <f ca="1">IF(COUNTA(W98),OFFSET($C98:W101,0,0,1,1),"")</f>
        <v/>
      </c>
      <c r="BB98" s="88" t="str">
        <f ca="1">IF(COUNTA(X98),OFFSET($C98:X101,0,0,1,1),"")</f>
        <v/>
      </c>
      <c r="BC98" s="88" t="str">
        <f ca="1">IF(COUNTA(Y98),OFFSET($C98:Y101,0,0,1,1),"")</f>
        <v/>
      </c>
      <c r="BD98" s="148" t="str">
        <f ca="1">IF(COUNTA(Z98),OFFSET($C98:Z101,0,0,1,1),"")</f>
        <v/>
      </c>
      <c r="BE98" s="148" t="str">
        <f ca="1">IF(COUNTA(AA98),OFFSET($C98:AA101,0,0,1,1),"")</f>
        <v/>
      </c>
      <c r="BF98" s="88" t="str">
        <f ca="1">IF(COUNTA(AB98),OFFSET($C98:AB101,0,0,1,1),"")</f>
        <v/>
      </c>
      <c r="BG98" s="88" t="str">
        <f ca="1">IF(COUNTA(AC98),OFFSET($C98:AC101,0,0,1,1),"")</f>
        <v/>
      </c>
      <c r="BH98" s="148" t="str">
        <f ca="1">IF(COUNTA(AD98),OFFSET($C98:AD101,0,0,1,1),"")</f>
        <v/>
      </c>
      <c r="BI98" s="148" t="str">
        <f ca="1">IF(COUNTA(AE98),OFFSET($C98:AE101,0,0,1,1),"")</f>
        <v/>
      </c>
    </row>
    <row r="99" spans="1:61" s="15" customFormat="1" ht="18.45" hidden="1" customHeight="1" x14ac:dyDescent="0.15">
      <c r="A99" s="212"/>
      <c r="B99" s="212"/>
      <c r="C99" s="99" t="s">
        <v>24</v>
      </c>
      <c r="D99" s="89"/>
      <c r="E99" s="89"/>
      <c r="F99" s="89"/>
      <c r="G99" s="89"/>
      <c r="H99" s="150"/>
      <c r="I99" s="89"/>
      <c r="J99" s="89"/>
      <c r="K99" s="89"/>
      <c r="L99" s="150"/>
      <c r="M99" s="89"/>
      <c r="N99" s="89"/>
      <c r="O99" s="89"/>
      <c r="P99" s="150"/>
      <c r="Q99" s="89"/>
      <c r="R99" s="89"/>
      <c r="S99" s="89"/>
      <c r="T99" s="150"/>
      <c r="U99" s="89"/>
      <c r="V99" s="89"/>
      <c r="W99" s="89"/>
      <c r="X99" s="150"/>
      <c r="Y99" s="89"/>
      <c r="Z99" s="89"/>
      <c r="AA99" s="89"/>
      <c r="AB99" s="150"/>
      <c r="AC99" s="89"/>
      <c r="AD99" s="89"/>
      <c r="AE99" s="152"/>
      <c r="AF99" s="36"/>
      <c r="AG99" s="18"/>
      <c r="AH99" s="88" t="str">
        <f ca="1">IF(COUNTA(D99),OFFSET($C99:D101,0,0,1,1),"")</f>
        <v/>
      </c>
      <c r="AI99" s="88" t="str">
        <f ca="1">IF(COUNTA(E99),OFFSET($C99:E101,0,0,1,1),"")</f>
        <v/>
      </c>
      <c r="AJ99" s="148" t="str">
        <f ca="1">IF(COUNTA(F99),OFFSET($C99:F101,0,0,1,1),"")</f>
        <v/>
      </c>
      <c r="AK99" s="148" t="str">
        <f ca="1">IF(COUNTA(G99),OFFSET($C99:G101,0,0,1,1),"")</f>
        <v/>
      </c>
      <c r="AL99" s="88" t="str">
        <f ca="1">IF(COUNTA(H99),OFFSET($C99:H101,0,0,1,1),"")</f>
        <v/>
      </c>
      <c r="AM99" s="88" t="str">
        <f ca="1">IF(COUNTA(I99),OFFSET($C99:I101,0,0,1,1),"")</f>
        <v/>
      </c>
      <c r="AN99" s="148" t="str">
        <f ca="1">IF(COUNTA(J99),OFFSET($C99:J101,0,0,1,1),"")</f>
        <v/>
      </c>
      <c r="AO99" s="148" t="str">
        <f ca="1">IF(COUNTA(K99),OFFSET($C99:K101,0,0,1,1),"")</f>
        <v/>
      </c>
      <c r="AP99" s="88" t="str">
        <f ca="1">IF(COUNTA(L99),OFFSET($C99:L101,0,0,1,1),"")</f>
        <v/>
      </c>
      <c r="AQ99" s="88" t="str">
        <f ca="1">IF(COUNTA(M99),OFFSET($C99:M101,0,0,1,1),"")</f>
        <v/>
      </c>
      <c r="AR99" s="148" t="str">
        <f ca="1">IF(COUNTA(N99),OFFSET($C99:N101,0,0,1,1),"")</f>
        <v/>
      </c>
      <c r="AS99" s="148" t="str">
        <f ca="1">IF(COUNTA(O99),OFFSET($C99:O101,0,0,1,1),"")</f>
        <v/>
      </c>
      <c r="AT99" s="88" t="str">
        <f ca="1">IF(COUNTA(P99),OFFSET($C99:P101,0,0,1,1),"")</f>
        <v/>
      </c>
      <c r="AU99" s="88" t="str">
        <f ca="1">IF(COUNTA(Q99),OFFSET($C99:Q101,0,0,1,1),"")</f>
        <v/>
      </c>
      <c r="AV99" s="148" t="str">
        <f ca="1">IF(COUNTA(R99),OFFSET($C99:R101,0,0,1,1),"")</f>
        <v/>
      </c>
      <c r="AW99" s="148" t="str">
        <f ca="1">IF(COUNTA(S99),OFFSET($C99:S101,0,0,1,1),"")</f>
        <v/>
      </c>
      <c r="AX99" s="88" t="str">
        <f ca="1">IF(COUNTA(T99),OFFSET($C99:T101,0,0,1,1),"")</f>
        <v/>
      </c>
      <c r="AY99" s="88" t="str">
        <f ca="1">IF(COUNTA(U99),OFFSET($C99:U101,0,0,1,1),"")</f>
        <v/>
      </c>
      <c r="AZ99" s="148" t="str">
        <f ca="1">IF(COUNTA(V99),OFFSET($C99:V101,0,0,1,1),"")</f>
        <v/>
      </c>
      <c r="BA99" s="148" t="str">
        <f ca="1">IF(COUNTA(W99),OFFSET($C99:W101,0,0,1,1),"")</f>
        <v/>
      </c>
      <c r="BB99" s="88" t="str">
        <f ca="1">IF(COUNTA(X99),OFFSET($C99:X101,0,0,1,1),"")</f>
        <v/>
      </c>
      <c r="BC99" s="88" t="str">
        <f ca="1">IF(COUNTA(Y99),OFFSET($C99:Y101,0,0,1,1),"")</f>
        <v/>
      </c>
      <c r="BD99" s="148" t="str">
        <f ca="1">IF(COUNTA(Z99),OFFSET($C99:Z101,0,0,1,1),"")</f>
        <v/>
      </c>
      <c r="BE99" s="148" t="str">
        <f ca="1">IF(COUNTA(AA99),OFFSET($C99:AA101,0,0,1,1),"")</f>
        <v/>
      </c>
      <c r="BF99" s="88" t="str">
        <f ca="1">IF(COUNTA(AB99),OFFSET($C99:AB101,0,0,1,1),"")</f>
        <v/>
      </c>
      <c r="BG99" s="88" t="str">
        <f ca="1">IF(COUNTA(AC99),OFFSET($C99:AC101,0,0,1,1),"")</f>
        <v/>
      </c>
      <c r="BH99" s="148" t="str">
        <f ca="1">IF(COUNTA(AD99),OFFSET($C99:AD101,0,0,1,1),"")</f>
        <v/>
      </c>
      <c r="BI99" s="148" t="str">
        <f ca="1">IF(COUNTA(AE99),OFFSET($C99:AE101,0,0,1,1),"")</f>
        <v/>
      </c>
    </row>
    <row r="100" spans="1:61" s="15" customFormat="1" ht="18.45" hidden="1" customHeight="1" x14ac:dyDescent="0.15">
      <c r="A100" s="212"/>
      <c r="B100" s="212"/>
      <c r="C100" s="99" t="s">
        <v>24</v>
      </c>
      <c r="D100" s="89"/>
      <c r="E100" s="89"/>
      <c r="F100" s="89"/>
      <c r="G100" s="89"/>
      <c r="H100" s="150"/>
      <c r="I100" s="89"/>
      <c r="J100" s="89"/>
      <c r="K100" s="89"/>
      <c r="L100" s="150"/>
      <c r="M100" s="89"/>
      <c r="N100" s="89"/>
      <c r="O100" s="89"/>
      <c r="P100" s="150"/>
      <c r="Q100" s="89"/>
      <c r="R100" s="89"/>
      <c r="S100" s="89"/>
      <c r="T100" s="150"/>
      <c r="U100" s="89"/>
      <c r="V100" s="89"/>
      <c r="W100" s="89"/>
      <c r="X100" s="150"/>
      <c r="Y100" s="89"/>
      <c r="Z100" s="89"/>
      <c r="AA100" s="89"/>
      <c r="AB100" s="150"/>
      <c r="AC100" s="89"/>
      <c r="AD100" s="89"/>
      <c r="AE100" s="152"/>
      <c r="AF100" s="36"/>
      <c r="AG100" s="18"/>
      <c r="AH100" s="88" t="str">
        <f ca="1">IF(COUNTA(D100),OFFSET($C100:D101,0,0,1,1),"")</f>
        <v/>
      </c>
      <c r="AI100" s="88" t="str">
        <f ca="1">IF(COUNTA(E100),OFFSET($C100:E101,0,0,1,1),"")</f>
        <v/>
      </c>
      <c r="AJ100" s="148" t="str">
        <f ca="1">IF(COUNTA(F100),OFFSET($C100:F101,0,0,1,1),"")</f>
        <v/>
      </c>
      <c r="AK100" s="148" t="str">
        <f ca="1">IF(COUNTA(G100),OFFSET($C100:G101,0,0,1,1),"")</f>
        <v/>
      </c>
      <c r="AL100" s="88" t="str">
        <f ca="1">IF(COUNTA(H100),OFFSET($C100:H101,0,0,1,1),"")</f>
        <v/>
      </c>
      <c r="AM100" s="88" t="str">
        <f ca="1">IF(COUNTA(I100),OFFSET($C100:I101,0,0,1,1),"")</f>
        <v/>
      </c>
      <c r="AN100" s="148" t="str">
        <f ca="1">IF(COUNTA(J100),OFFSET($C100:J101,0,0,1,1),"")</f>
        <v/>
      </c>
      <c r="AO100" s="148" t="str">
        <f ca="1">IF(COUNTA(K100),OFFSET($C100:K101,0,0,1,1),"")</f>
        <v/>
      </c>
      <c r="AP100" s="88" t="str">
        <f ca="1">IF(COUNTA(L100),OFFSET($C100:L101,0,0,1,1),"")</f>
        <v/>
      </c>
      <c r="AQ100" s="88" t="str">
        <f ca="1">IF(COUNTA(M100),OFFSET($C100:M101,0,0,1,1),"")</f>
        <v/>
      </c>
      <c r="AR100" s="148" t="str">
        <f ca="1">IF(COUNTA(N100),OFFSET($C100:N101,0,0,1,1),"")</f>
        <v/>
      </c>
      <c r="AS100" s="148" t="str">
        <f ca="1">IF(COUNTA(O100),OFFSET($C100:O101,0,0,1,1),"")</f>
        <v/>
      </c>
      <c r="AT100" s="88" t="str">
        <f ca="1">IF(COUNTA(P100),OFFSET($C100:P101,0,0,1,1),"")</f>
        <v/>
      </c>
      <c r="AU100" s="88" t="str">
        <f ca="1">IF(COUNTA(Q100),OFFSET($C100:Q101,0,0,1,1),"")</f>
        <v/>
      </c>
      <c r="AV100" s="148" t="str">
        <f ca="1">IF(COUNTA(R100),OFFSET($C100:R101,0,0,1,1),"")</f>
        <v/>
      </c>
      <c r="AW100" s="148" t="str">
        <f ca="1">IF(COUNTA(S100),OFFSET($C100:S101,0,0,1,1),"")</f>
        <v/>
      </c>
      <c r="AX100" s="88" t="str">
        <f ca="1">IF(COUNTA(T100),OFFSET($C100:T101,0,0,1,1),"")</f>
        <v/>
      </c>
      <c r="AY100" s="88" t="str">
        <f ca="1">IF(COUNTA(U100),OFFSET($C100:U101,0,0,1,1),"")</f>
        <v/>
      </c>
      <c r="AZ100" s="148" t="str">
        <f ca="1">IF(COUNTA(V100),OFFSET($C100:V101,0,0,1,1),"")</f>
        <v/>
      </c>
      <c r="BA100" s="148" t="str">
        <f ca="1">IF(COUNTA(W100),OFFSET($C100:W101,0,0,1,1),"")</f>
        <v/>
      </c>
      <c r="BB100" s="88" t="str">
        <f ca="1">IF(COUNTA(X100),OFFSET($C100:X101,0,0,1,1),"")</f>
        <v/>
      </c>
      <c r="BC100" s="88" t="str">
        <f ca="1">IF(COUNTA(Y100),OFFSET($C100:Y101,0,0,1,1),"")</f>
        <v/>
      </c>
      <c r="BD100" s="148" t="str">
        <f ca="1">IF(COUNTA(Z100),OFFSET($C100:Z101,0,0,1,1),"")</f>
        <v/>
      </c>
      <c r="BE100" s="148" t="str">
        <f ca="1">IF(COUNTA(AA100),OFFSET($C100:AA101,0,0,1,1),"")</f>
        <v/>
      </c>
      <c r="BF100" s="88" t="str">
        <f ca="1">IF(COUNTA(AB100),OFFSET($C100:AB101,0,0,1,1),"")</f>
        <v/>
      </c>
      <c r="BG100" s="88" t="str">
        <f ca="1">IF(COUNTA(AC100),OFFSET($C100:AC101,0,0,1,1),"")</f>
        <v/>
      </c>
      <c r="BH100" s="148" t="str">
        <f ca="1">IF(COUNTA(AD100),OFFSET($C100:AD101,0,0,1,1),"")</f>
        <v/>
      </c>
      <c r="BI100" s="148" t="str">
        <f ca="1">IF(COUNTA(AE100),OFFSET($C100:AE101,0,0,1,1),"")</f>
        <v/>
      </c>
    </row>
    <row r="101" spans="1:61" s="15" customFormat="1" ht="18.45" hidden="1" customHeight="1" x14ac:dyDescent="0.15">
      <c r="A101" s="212"/>
      <c r="B101" s="212"/>
      <c r="C101" s="99" t="s">
        <v>24</v>
      </c>
      <c r="D101" s="89"/>
      <c r="E101" s="89"/>
      <c r="F101" s="89"/>
      <c r="G101" s="89"/>
      <c r="H101" s="150"/>
      <c r="I101" s="89"/>
      <c r="J101" s="89"/>
      <c r="K101" s="89"/>
      <c r="L101" s="150"/>
      <c r="M101" s="89"/>
      <c r="N101" s="89"/>
      <c r="O101" s="89"/>
      <c r="P101" s="150"/>
      <c r="Q101" s="89"/>
      <c r="R101" s="89"/>
      <c r="S101" s="89"/>
      <c r="T101" s="150"/>
      <c r="U101" s="89"/>
      <c r="V101" s="89"/>
      <c r="W101" s="89"/>
      <c r="X101" s="150"/>
      <c r="Y101" s="89"/>
      <c r="Z101" s="89"/>
      <c r="AA101" s="89"/>
      <c r="AB101" s="150"/>
      <c r="AC101" s="89"/>
      <c r="AD101" s="89"/>
      <c r="AE101" s="152"/>
      <c r="AF101" s="36"/>
      <c r="AG101" s="18"/>
      <c r="AH101" s="88" t="str">
        <f ca="1">IF(COUNTA(D101),OFFSET($C101:D102,0,0,1,1),"")</f>
        <v/>
      </c>
      <c r="AI101" s="88" t="str">
        <f ca="1">IF(COUNTA(E101),OFFSET($C101:E102,0,0,1,1),"")</f>
        <v/>
      </c>
      <c r="AJ101" s="148" t="str">
        <f ca="1">IF(COUNTA(F101),OFFSET($C101:F102,0,0,1,1),"")</f>
        <v/>
      </c>
      <c r="AK101" s="148" t="str">
        <f ca="1">IF(COUNTA(G101),OFFSET($C101:G102,0,0,1,1),"")</f>
        <v/>
      </c>
      <c r="AL101" s="88" t="str">
        <f ca="1">IF(COUNTA(H101),OFFSET($C101:H102,0,0,1,1),"")</f>
        <v/>
      </c>
      <c r="AM101" s="88" t="str">
        <f ca="1">IF(COUNTA(I101),OFFSET($C101:I102,0,0,1,1),"")</f>
        <v/>
      </c>
      <c r="AN101" s="148" t="str">
        <f ca="1">IF(COUNTA(J101),OFFSET($C101:J102,0,0,1,1),"")</f>
        <v/>
      </c>
      <c r="AO101" s="148" t="str">
        <f ca="1">IF(COUNTA(K101),OFFSET($C101:K102,0,0,1,1),"")</f>
        <v/>
      </c>
      <c r="AP101" s="88" t="str">
        <f ca="1">IF(COUNTA(L101),OFFSET($C101:L102,0,0,1,1),"")</f>
        <v/>
      </c>
      <c r="AQ101" s="88" t="str">
        <f ca="1">IF(COUNTA(M101),OFFSET($C101:M102,0,0,1,1),"")</f>
        <v/>
      </c>
      <c r="AR101" s="148" t="str">
        <f ca="1">IF(COUNTA(N101),OFFSET($C101:N102,0,0,1,1),"")</f>
        <v/>
      </c>
      <c r="AS101" s="148" t="str">
        <f ca="1">IF(COUNTA(O101),OFFSET($C101:O102,0,0,1,1),"")</f>
        <v/>
      </c>
      <c r="AT101" s="88" t="str">
        <f ca="1">IF(COUNTA(P101),OFFSET($C101:P102,0,0,1,1),"")</f>
        <v/>
      </c>
      <c r="AU101" s="88" t="str">
        <f ca="1">IF(COUNTA(Q101),OFFSET($C101:Q102,0,0,1,1),"")</f>
        <v/>
      </c>
      <c r="AV101" s="148" t="str">
        <f ca="1">IF(COUNTA(R101),OFFSET($C101:R102,0,0,1,1),"")</f>
        <v/>
      </c>
      <c r="AW101" s="148" t="str">
        <f ca="1">IF(COUNTA(S101),OFFSET($C101:S102,0,0,1,1),"")</f>
        <v/>
      </c>
      <c r="AX101" s="88" t="str">
        <f ca="1">IF(COUNTA(T101),OFFSET($C101:T102,0,0,1,1),"")</f>
        <v/>
      </c>
      <c r="AY101" s="88" t="str">
        <f ca="1">IF(COUNTA(U101),OFFSET($C101:U102,0,0,1,1),"")</f>
        <v/>
      </c>
      <c r="AZ101" s="148" t="str">
        <f ca="1">IF(COUNTA(V101),OFFSET($C101:V102,0,0,1,1),"")</f>
        <v/>
      </c>
      <c r="BA101" s="148" t="str">
        <f ca="1">IF(COUNTA(W101),OFFSET($C101:W102,0,0,1,1),"")</f>
        <v/>
      </c>
      <c r="BB101" s="88" t="str">
        <f ca="1">IF(COUNTA(X101),OFFSET($C101:X102,0,0,1,1),"")</f>
        <v/>
      </c>
      <c r="BC101" s="88" t="str">
        <f ca="1">IF(COUNTA(Y101),OFFSET($C101:Y102,0,0,1,1),"")</f>
        <v/>
      </c>
      <c r="BD101" s="148" t="str">
        <f ca="1">IF(COUNTA(Z101),OFFSET($C101:Z102,0,0,1,1),"")</f>
        <v/>
      </c>
      <c r="BE101" s="148" t="str">
        <f ca="1">IF(COUNTA(AA101),OFFSET($C101:AA102,0,0,1,1),"")</f>
        <v/>
      </c>
      <c r="BF101" s="88" t="str">
        <f ca="1">IF(COUNTA(AB101),OFFSET($C101:AB102,0,0,1,1),"")</f>
        <v/>
      </c>
      <c r="BG101" s="88" t="str">
        <f ca="1">IF(COUNTA(AC101),OFFSET($C101:AC102,0,0,1,1),"")</f>
        <v/>
      </c>
      <c r="BH101" s="148" t="str">
        <f ca="1">IF(COUNTA(AD101),OFFSET($C101:AD102,0,0,1,1),"")</f>
        <v/>
      </c>
      <c r="BI101" s="148" t="str">
        <f ca="1">IF(COUNTA(AE101),OFFSET($C101:AE102,0,0,1,1),"")</f>
        <v/>
      </c>
    </row>
    <row r="102" spans="1:61" s="15" customFormat="1" ht="18.45" hidden="1" customHeight="1" x14ac:dyDescent="0.15">
      <c r="A102" s="212"/>
      <c r="B102" s="212"/>
      <c r="C102" s="99" t="s">
        <v>24</v>
      </c>
      <c r="D102" s="89"/>
      <c r="E102" s="89"/>
      <c r="F102" s="89"/>
      <c r="G102" s="89"/>
      <c r="H102" s="150"/>
      <c r="I102" s="89"/>
      <c r="J102" s="89"/>
      <c r="K102" s="89"/>
      <c r="L102" s="150"/>
      <c r="M102" s="89"/>
      <c r="N102" s="89"/>
      <c r="O102" s="89"/>
      <c r="P102" s="150"/>
      <c r="Q102" s="89"/>
      <c r="R102" s="89"/>
      <c r="S102" s="89"/>
      <c r="T102" s="150"/>
      <c r="U102" s="89"/>
      <c r="V102" s="89"/>
      <c r="W102" s="89"/>
      <c r="X102" s="150"/>
      <c r="Y102" s="89"/>
      <c r="Z102" s="89"/>
      <c r="AA102" s="89"/>
      <c r="AB102" s="150"/>
      <c r="AC102" s="89"/>
      <c r="AD102" s="89"/>
      <c r="AE102" s="152"/>
      <c r="AF102" s="36"/>
      <c r="AG102" s="18"/>
      <c r="AH102" s="88" t="str">
        <f ca="1">IF(COUNTA(D102),OFFSET($C102:D105,0,0,1,1),"")</f>
        <v/>
      </c>
      <c r="AI102" s="88" t="str">
        <f ca="1">IF(COUNTA(E102),OFFSET($C102:E105,0,0,1,1),"")</f>
        <v/>
      </c>
      <c r="AJ102" s="148" t="str">
        <f ca="1">IF(COUNTA(F102),OFFSET($C102:F105,0,0,1,1),"")</f>
        <v/>
      </c>
      <c r="AK102" s="148" t="str">
        <f ca="1">IF(COUNTA(G102),OFFSET($C102:G105,0,0,1,1),"")</f>
        <v/>
      </c>
      <c r="AL102" s="88" t="str">
        <f ca="1">IF(COUNTA(H102),OFFSET($C102:H105,0,0,1,1),"")</f>
        <v/>
      </c>
      <c r="AM102" s="88" t="str">
        <f ca="1">IF(COUNTA(I102),OFFSET($C102:I105,0,0,1,1),"")</f>
        <v/>
      </c>
      <c r="AN102" s="148" t="str">
        <f ca="1">IF(COUNTA(J102),OFFSET($C102:J105,0,0,1,1),"")</f>
        <v/>
      </c>
      <c r="AO102" s="148" t="str">
        <f ca="1">IF(COUNTA(K102),OFFSET($C102:K105,0,0,1,1),"")</f>
        <v/>
      </c>
      <c r="AP102" s="88" t="str">
        <f ca="1">IF(COUNTA(L102),OFFSET($C102:L105,0,0,1,1),"")</f>
        <v/>
      </c>
      <c r="AQ102" s="88" t="str">
        <f ca="1">IF(COUNTA(M102),OFFSET($C102:M105,0,0,1,1),"")</f>
        <v/>
      </c>
      <c r="AR102" s="148" t="str">
        <f ca="1">IF(COUNTA(N102),OFFSET($C102:N105,0,0,1,1),"")</f>
        <v/>
      </c>
      <c r="AS102" s="148" t="str">
        <f ca="1">IF(COUNTA(O102),OFFSET($C102:O105,0,0,1,1),"")</f>
        <v/>
      </c>
      <c r="AT102" s="88" t="str">
        <f ca="1">IF(COUNTA(P102),OFFSET($C102:P105,0,0,1,1),"")</f>
        <v/>
      </c>
      <c r="AU102" s="88" t="str">
        <f ca="1">IF(COUNTA(Q102),OFFSET($C102:Q105,0,0,1,1),"")</f>
        <v/>
      </c>
      <c r="AV102" s="148" t="str">
        <f ca="1">IF(COUNTA(R102),OFFSET($C102:R105,0,0,1,1),"")</f>
        <v/>
      </c>
      <c r="AW102" s="148" t="str">
        <f ca="1">IF(COUNTA(S102),OFFSET($C102:S105,0,0,1,1),"")</f>
        <v/>
      </c>
      <c r="AX102" s="88" t="str">
        <f ca="1">IF(COUNTA(T102),OFFSET($C102:T105,0,0,1,1),"")</f>
        <v/>
      </c>
      <c r="AY102" s="88" t="str">
        <f ca="1">IF(COUNTA(U102),OFFSET($C102:U105,0,0,1,1),"")</f>
        <v/>
      </c>
      <c r="AZ102" s="148" t="str">
        <f ca="1">IF(COUNTA(V102),OFFSET($C102:V105,0,0,1,1),"")</f>
        <v/>
      </c>
      <c r="BA102" s="148" t="str">
        <f ca="1">IF(COUNTA(W102),OFFSET($C102:W105,0,0,1,1),"")</f>
        <v/>
      </c>
      <c r="BB102" s="88" t="str">
        <f ca="1">IF(COUNTA(X102),OFFSET($C102:X105,0,0,1,1),"")</f>
        <v/>
      </c>
      <c r="BC102" s="88" t="str">
        <f ca="1">IF(COUNTA(Y102),OFFSET($C102:Y105,0,0,1,1),"")</f>
        <v/>
      </c>
      <c r="BD102" s="148" t="str">
        <f ca="1">IF(COUNTA(Z102),OFFSET($C102:Z105,0,0,1,1),"")</f>
        <v/>
      </c>
      <c r="BE102" s="148" t="str">
        <f ca="1">IF(COUNTA(AA102),OFFSET($C102:AA105,0,0,1,1),"")</f>
        <v/>
      </c>
      <c r="BF102" s="88" t="str">
        <f ca="1">IF(COUNTA(AB102),OFFSET($C102:AB105,0,0,1,1),"")</f>
        <v/>
      </c>
      <c r="BG102" s="88" t="str">
        <f ca="1">IF(COUNTA(AC102),OFFSET($C102:AC105,0,0,1,1),"")</f>
        <v/>
      </c>
      <c r="BH102" s="148" t="str">
        <f ca="1">IF(COUNTA(AD102),OFFSET($C102:AD105,0,0,1,1),"")</f>
        <v/>
      </c>
      <c r="BI102" s="148" t="str">
        <f ca="1">IF(COUNTA(AE102),OFFSET($C102:AE105,0,0,1,1),"")</f>
        <v/>
      </c>
    </row>
    <row r="103" spans="1:61" s="15" customFormat="1" ht="18.45" hidden="1" customHeight="1" x14ac:dyDescent="0.15">
      <c r="A103" s="212"/>
      <c r="B103" s="212"/>
      <c r="C103" s="99" t="s">
        <v>24</v>
      </c>
      <c r="D103" s="89"/>
      <c r="E103" s="89"/>
      <c r="F103" s="89"/>
      <c r="G103" s="89"/>
      <c r="H103" s="150"/>
      <c r="I103" s="89"/>
      <c r="J103" s="89"/>
      <c r="K103" s="89"/>
      <c r="L103" s="150"/>
      <c r="M103" s="89"/>
      <c r="N103" s="89"/>
      <c r="O103" s="89"/>
      <c r="P103" s="150"/>
      <c r="Q103" s="89"/>
      <c r="R103" s="89"/>
      <c r="S103" s="89"/>
      <c r="T103" s="150"/>
      <c r="U103" s="89"/>
      <c r="V103" s="89"/>
      <c r="W103" s="89"/>
      <c r="X103" s="150"/>
      <c r="Y103" s="89"/>
      <c r="Z103" s="89"/>
      <c r="AA103" s="89"/>
      <c r="AB103" s="150"/>
      <c r="AC103" s="89"/>
      <c r="AD103" s="89"/>
      <c r="AE103" s="152"/>
      <c r="AF103" s="36"/>
      <c r="AG103" s="18"/>
      <c r="AH103" s="88" t="str">
        <f ca="1">IF(COUNTA(D103),OFFSET($C103:D106,0,0,1,1),"")</f>
        <v/>
      </c>
      <c r="AI103" s="88" t="str">
        <f ca="1">IF(COUNTA(E103),OFFSET($C103:E106,0,0,1,1),"")</f>
        <v/>
      </c>
      <c r="AJ103" s="148" t="str">
        <f ca="1">IF(COUNTA(F103),OFFSET($C103:F106,0,0,1,1),"")</f>
        <v/>
      </c>
      <c r="AK103" s="148" t="str">
        <f ca="1">IF(COUNTA(G103),OFFSET($C103:G106,0,0,1,1),"")</f>
        <v/>
      </c>
      <c r="AL103" s="88" t="str">
        <f ca="1">IF(COUNTA(H103),OFFSET($C103:H106,0,0,1,1),"")</f>
        <v/>
      </c>
      <c r="AM103" s="88" t="str">
        <f ca="1">IF(COUNTA(I103),OFFSET($C103:I106,0,0,1,1),"")</f>
        <v/>
      </c>
      <c r="AN103" s="148" t="str">
        <f ca="1">IF(COUNTA(J103),OFFSET($C103:J106,0,0,1,1),"")</f>
        <v/>
      </c>
      <c r="AO103" s="148" t="str">
        <f ca="1">IF(COUNTA(K103),OFFSET($C103:K106,0,0,1,1),"")</f>
        <v/>
      </c>
      <c r="AP103" s="88" t="str">
        <f ca="1">IF(COUNTA(L103),OFFSET($C103:L106,0,0,1,1),"")</f>
        <v/>
      </c>
      <c r="AQ103" s="88" t="str">
        <f ca="1">IF(COUNTA(M103),OFFSET($C103:M106,0,0,1,1),"")</f>
        <v/>
      </c>
      <c r="AR103" s="148" t="str">
        <f ca="1">IF(COUNTA(N103),OFFSET($C103:N106,0,0,1,1),"")</f>
        <v/>
      </c>
      <c r="AS103" s="148" t="str">
        <f ca="1">IF(COUNTA(O103),OFFSET($C103:O106,0,0,1,1),"")</f>
        <v/>
      </c>
      <c r="AT103" s="88" t="str">
        <f ca="1">IF(COUNTA(P103),OFFSET($C103:P106,0,0,1,1),"")</f>
        <v/>
      </c>
      <c r="AU103" s="88" t="str">
        <f ca="1">IF(COUNTA(Q103),OFFSET($C103:Q106,0,0,1,1),"")</f>
        <v/>
      </c>
      <c r="AV103" s="148" t="str">
        <f ca="1">IF(COUNTA(R103),OFFSET($C103:R106,0,0,1,1),"")</f>
        <v/>
      </c>
      <c r="AW103" s="148" t="str">
        <f ca="1">IF(COUNTA(S103),OFFSET($C103:S106,0,0,1,1),"")</f>
        <v/>
      </c>
      <c r="AX103" s="88" t="str">
        <f ca="1">IF(COUNTA(T103),OFFSET($C103:T106,0,0,1,1),"")</f>
        <v/>
      </c>
      <c r="AY103" s="88" t="str">
        <f ca="1">IF(COUNTA(U103),OFFSET($C103:U106,0,0,1,1),"")</f>
        <v/>
      </c>
      <c r="AZ103" s="148" t="str">
        <f ca="1">IF(COUNTA(V103),OFFSET($C103:V106,0,0,1,1),"")</f>
        <v/>
      </c>
      <c r="BA103" s="148" t="str">
        <f ca="1">IF(COUNTA(W103),OFFSET($C103:W106,0,0,1,1),"")</f>
        <v/>
      </c>
      <c r="BB103" s="88" t="str">
        <f ca="1">IF(COUNTA(X103),OFFSET($C103:X106,0,0,1,1),"")</f>
        <v/>
      </c>
      <c r="BC103" s="88" t="str">
        <f ca="1">IF(COUNTA(Y103),OFFSET($C103:Y106,0,0,1,1),"")</f>
        <v/>
      </c>
      <c r="BD103" s="148" t="str">
        <f ca="1">IF(COUNTA(Z103),OFFSET($C103:Z106,0,0,1,1),"")</f>
        <v/>
      </c>
      <c r="BE103" s="148" t="str">
        <f ca="1">IF(COUNTA(AA103),OFFSET($C103:AA106,0,0,1,1),"")</f>
        <v/>
      </c>
      <c r="BF103" s="88" t="str">
        <f ca="1">IF(COUNTA(AB103),OFFSET($C103:AB106,0,0,1,1),"")</f>
        <v/>
      </c>
      <c r="BG103" s="88" t="str">
        <f ca="1">IF(COUNTA(AC103),OFFSET($C103:AC106,0,0,1,1),"")</f>
        <v/>
      </c>
      <c r="BH103" s="148" t="str">
        <f ca="1">IF(COUNTA(AD103),OFFSET($C103:AD106,0,0,1,1),"")</f>
        <v/>
      </c>
      <c r="BI103" s="148" t="str">
        <f ca="1">IF(COUNTA(AE103),OFFSET($C103:AE106,0,0,1,1),"")</f>
        <v/>
      </c>
    </row>
    <row r="104" spans="1:61" s="15" customFormat="1" ht="18.45" hidden="1" customHeight="1" x14ac:dyDescent="0.15">
      <c r="A104" s="213"/>
      <c r="B104" s="213"/>
      <c r="C104" s="100" t="s">
        <v>24</v>
      </c>
      <c r="D104" s="87"/>
      <c r="E104" s="87"/>
      <c r="F104" s="87"/>
      <c r="G104" s="87"/>
      <c r="H104" s="151"/>
      <c r="I104" s="87"/>
      <c r="J104" s="87"/>
      <c r="K104" s="87"/>
      <c r="L104" s="151"/>
      <c r="M104" s="87"/>
      <c r="N104" s="87"/>
      <c r="O104" s="87"/>
      <c r="P104" s="151"/>
      <c r="Q104" s="87"/>
      <c r="R104" s="87"/>
      <c r="S104" s="87"/>
      <c r="T104" s="151"/>
      <c r="U104" s="87"/>
      <c r="V104" s="87"/>
      <c r="W104" s="87"/>
      <c r="X104" s="151"/>
      <c r="Y104" s="87"/>
      <c r="Z104" s="87"/>
      <c r="AA104" s="87"/>
      <c r="AB104" s="151"/>
      <c r="AC104" s="87"/>
      <c r="AD104" s="87"/>
      <c r="AE104" s="153"/>
      <c r="AF104" s="36"/>
      <c r="AG104" s="18"/>
      <c r="AH104" s="86" t="str">
        <f ca="1">IF(COUNTA(D104),OFFSET($C104:D107,0,0,1,1),"")</f>
        <v/>
      </c>
      <c r="AI104" s="86" t="str">
        <f ca="1">IF(COUNTA(E104),OFFSET($C104:E107,0,0,1,1),"")</f>
        <v/>
      </c>
      <c r="AJ104" s="149" t="str">
        <f ca="1">IF(COUNTA(F104),OFFSET($C104:F107,0,0,1,1),"")</f>
        <v/>
      </c>
      <c r="AK104" s="149" t="str">
        <f ca="1">IF(COUNTA(G104),OFFSET($C104:G107,0,0,1,1),"")</f>
        <v/>
      </c>
      <c r="AL104" s="86" t="str">
        <f ca="1">IF(COUNTA(H104),OFFSET($C104:H107,0,0,1,1),"")</f>
        <v/>
      </c>
      <c r="AM104" s="86" t="str">
        <f ca="1">IF(COUNTA(I104),OFFSET($C104:I107,0,0,1,1),"")</f>
        <v/>
      </c>
      <c r="AN104" s="149" t="str">
        <f ca="1">IF(COUNTA(J104),OFFSET($C104:J107,0,0,1,1),"")</f>
        <v/>
      </c>
      <c r="AO104" s="149" t="str">
        <f ca="1">IF(COUNTA(K104),OFFSET($C104:K107,0,0,1,1),"")</f>
        <v/>
      </c>
      <c r="AP104" s="86" t="str">
        <f ca="1">IF(COUNTA(L104),OFFSET($C104:L107,0,0,1,1),"")</f>
        <v/>
      </c>
      <c r="AQ104" s="86" t="str">
        <f ca="1">IF(COUNTA(M104),OFFSET($C104:M107,0,0,1,1),"")</f>
        <v/>
      </c>
      <c r="AR104" s="149" t="str">
        <f ca="1">IF(COUNTA(N104),OFFSET($C104:N107,0,0,1,1),"")</f>
        <v/>
      </c>
      <c r="AS104" s="149" t="str">
        <f ca="1">IF(COUNTA(O104),OFFSET($C104:O107,0,0,1,1),"")</f>
        <v/>
      </c>
      <c r="AT104" s="86" t="str">
        <f ca="1">IF(COUNTA(P104),OFFSET($C104:P107,0,0,1,1),"")</f>
        <v/>
      </c>
      <c r="AU104" s="86" t="str">
        <f ca="1">IF(COUNTA(Q104),OFFSET($C104:Q107,0,0,1,1),"")</f>
        <v/>
      </c>
      <c r="AV104" s="149" t="str">
        <f ca="1">IF(COUNTA(R104),OFFSET($C104:R107,0,0,1,1),"")</f>
        <v/>
      </c>
      <c r="AW104" s="149" t="str">
        <f ca="1">IF(COUNTA(S104),OFFSET($C104:S107,0,0,1,1),"")</f>
        <v/>
      </c>
      <c r="AX104" s="86" t="str">
        <f ca="1">IF(COUNTA(T104),OFFSET($C104:T107,0,0,1,1),"")</f>
        <v/>
      </c>
      <c r="AY104" s="86" t="str">
        <f ca="1">IF(COUNTA(U104),OFFSET($C104:U107,0,0,1,1),"")</f>
        <v/>
      </c>
      <c r="AZ104" s="149" t="str">
        <f ca="1">IF(COUNTA(V104),OFFSET($C104:V107,0,0,1,1),"")</f>
        <v/>
      </c>
      <c r="BA104" s="149" t="str">
        <f ca="1">IF(COUNTA(W104),OFFSET($C104:W107,0,0,1,1),"")</f>
        <v/>
      </c>
      <c r="BB104" s="86" t="str">
        <f ca="1">IF(COUNTA(X104),OFFSET($C104:X107,0,0,1,1),"")</f>
        <v/>
      </c>
      <c r="BC104" s="86" t="str">
        <f ca="1">IF(COUNTA(Y104),OFFSET($C104:Y107,0,0,1,1),"")</f>
        <v/>
      </c>
      <c r="BD104" s="149" t="str">
        <f ca="1">IF(COUNTA(Z104),OFFSET($C104:Z107,0,0,1,1),"")</f>
        <v/>
      </c>
      <c r="BE104" s="149" t="str">
        <f ca="1">IF(COUNTA(AA104),OFFSET($C104:AA107,0,0,1,1),"")</f>
        <v/>
      </c>
      <c r="BF104" s="86" t="str">
        <f ca="1">IF(COUNTA(AB104),OFFSET($C104:AB107,0,0,1,1),"")</f>
        <v/>
      </c>
      <c r="BG104" s="86" t="str">
        <f ca="1">IF(COUNTA(AC104),OFFSET($C104:AC107,0,0,1,1),"")</f>
        <v/>
      </c>
      <c r="BH104" s="149" t="str">
        <f ca="1">IF(COUNTA(AD104),OFFSET($C104:AD107,0,0,1,1),"")</f>
        <v/>
      </c>
      <c r="BI104" s="149" t="str">
        <f ca="1">IF(COUNTA(AE104),OFFSET($C104:AE107,0,0,1,1),"")</f>
        <v/>
      </c>
    </row>
    <row r="105" spans="1:61" ht="42.6" customHeight="1" x14ac:dyDescent="0.15">
      <c r="A105" s="201"/>
      <c r="B105" s="201"/>
      <c r="C105" s="201"/>
      <c r="D105" s="118">
        <f ca="1">IF(10*COUNTIF(D4:D104,"*")='planning beneficiaires'!M49*10,10*COUNTIF(D4:D104,"*"),"Doublon ou Bénéficiaire absent")</f>
        <v>210</v>
      </c>
      <c r="E105" s="118">
        <f ca="1">IF(10*COUNTIF(E4:E104,"*")='planning beneficiaires'!N49*10,10*COUNTIF(E4:E104,"*"),"Doublon ou Bénéficiaire absent")</f>
        <v>0</v>
      </c>
      <c r="F105" s="118">
        <f ca="1">IF(10*COUNTIF(F4:F104,"*")='planning beneficiaires'!O49*10,10*COUNTIF(F4:F104,"*"),"Doublon ou Bénéficiaire absent")</f>
        <v>130</v>
      </c>
      <c r="G105" s="118">
        <f ca="1">IF(10*COUNTIF(G4:G104,"*")='planning beneficiaires'!P49*10,10*COUNTIF(G4:G104,"*"),"Doublon ou Bénéficiaire absent")</f>
        <v>0</v>
      </c>
      <c r="H105" s="118">
        <f ca="1">IF(10*COUNTIF(H4:H104,"*")='planning beneficiaires'!Q49*10,10*COUNTIF(H4:H104,"*"),"Doublon ou Bénéficiaire absent")</f>
        <v>220</v>
      </c>
      <c r="I105" s="118">
        <f ca="1">IF(10*COUNTIF(I4:I104,"*")='planning beneficiaires'!R49*10,10*COUNTIF(I4:I104,"*"),"Doublon ou Bénéficiaire absent")</f>
        <v>0</v>
      </c>
      <c r="J105" s="118">
        <f ca="1">IF(10*COUNTIF(J4:J104,"*")='planning beneficiaires'!S49*10,10*COUNTIF(J4:J104,"*"),"Doublon ou Bénéficiaire absent")</f>
        <v>200</v>
      </c>
      <c r="K105" s="118">
        <f ca="1">IF(10*COUNTIF(K4:K104,"*")='planning beneficiaires'!T49*10,10*COUNTIF(K4:K104,"*"),"Doublon ou Bénéficiaire absent")</f>
        <v>0</v>
      </c>
      <c r="L105" s="118">
        <f ca="1">IF(10*COUNTIF(L4:L104,"*")='planning beneficiaires'!U49*10,10*COUNTIF(L4:L104,"*"),"Doublon ou Bénéficiaire absent")</f>
        <v>220</v>
      </c>
      <c r="M105" s="118">
        <f ca="1">IF(10*COUNTIF(M4:M104,"*")='planning beneficiaires'!V49*10,10*COUNTIF(M4:M104,"*"),"Doublon ou Bénéficiaire absent")</f>
        <v>0</v>
      </c>
      <c r="N105" s="118">
        <f ca="1">IF(10*COUNTIF(N4:N104,"*")='planning beneficiaires'!W49*10,10*COUNTIF(N4:N104,"*"),"Doublon ou Bénéficiaire absent")</f>
        <v>170</v>
      </c>
      <c r="O105" s="118">
        <f ca="1">IF(10*COUNTIF(O4:O104,"*")='planning beneficiaires'!X49*10,10*COUNTIF(O4:O104,"*"),"Doublon ou Bénéficiaire absent")</f>
        <v>0</v>
      </c>
      <c r="P105" s="118">
        <f ca="1">IF(10*COUNTIF(P4:P104,"*")='planning beneficiaires'!Y49*10,10*COUNTIF(P4:P104,"*"),"Doublon ou Bénéficiaire absent")</f>
        <v>190</v>
      </c>
      <c r="Q105" s="118">
        <f ca="1">IF(10*COUNTIF(Q4:Q104,"*")='planning beneficiaires'!Z49*10,10*COUNTIF(Q4:Q104,"*"),"Doublon ou Bénéficiaire absent")</f>
        <v>0</v>
      </c>
      <c r="R105" s="118">
        <f ca="1">IF(10*COUNTIF(R4:R104,"*")='planning beneficiaires'!AA49*10,10*COUNTIF(R4:R104,"*"),"Doublon ou Bénéficiaire absent")</f>
        <v>170</v>
      </c>
      <c r="S105" s="118">
        <f ca="1">IF(10*COUNTIF(S4:S104,"*")='planning beneficiaires'!AB49*10,10*COUNTIF(S4:S104,"*"),"Doublon ou Bénéficiaire absent")</f>
        <v>0</v>
      </c>
      <c r="T105" s="118">
        <f ca="1">IF(10*COUNTIF(T4:T104,"*")='planning beneficiaires'!AC49*10,10*COUNTIF(T4:T104,"*"),"Doublon ou Bénéficiaire absent")</f>
        <v>190</v>
      </c>
      <c r="U105" s="118">
        <f ca="1">IF(10*COUNTIF(U4:U104,"*")='planning beneficiaires'!AD49*10,10*COUNTIF(U4:U104,"*"),"Doublon ou Bénéficiaire absent")</f>
        <v>0</v>
      </c>
      <c r="V105" s="118">
        <f ca="1">IF(10*COUNTIF(V4:V104,"*")='planning beneficiaires'!AE49*10,10*COUNTIF(V4:V104,"*"),"Doublon ou Bénéficiaire absent")</f>
        <v>80</v>
      </c>
      <c r="W105" s="118">
        <f ca="1">IF(10*COUNTIF(W4:W104,"*")='planning beneficiaires'!AF49*10,10*COUNTIF(W4:W104,"*"),"Doublon ou Bénéficiaire absent")</f>
        <v>0</v>
      </c>
      <c r="X105" s="118">
        <f ca="1">IF(10*COUNTIF(X4:X104,"*")='planning beneficiaires'!AG49*10,10*COUNTIF(X4:X104,"*"),"Doublon ou Bénéficiaire absent")</f>
        <v>0</v>
      </c>
      <c r="Y105" s="118">
        <f ca="1">IF(10*COUNTIF(Y4:Y104,"*")='planning beneficiaires'!AH49*10,10*COUNTIF(Y4:Y104,"*"),"Doublon ou Bénéficiaire absent")</f>
        <v>0</v>
      </c>
      <c r="Z105" s="118">
        <f ca="1">IF(10*COUNTIF(Z4:Z104,"*")='planning beneficiaires'!AI49*10,10*COUNTIF(Z4:Z104,"*"),"Doublon ou Bénéficiaire absent")</f>
        <v>0</v>
      </c>
      <c r="AA105" s="118">
        <f ca="1">IF(10*COUNTIF(AA4:AA104,"*")='planning beneficiaires'!AJ49*10,10*COUNTIF(AA4:AA104,"*"),"Doublon ou Bénéficiaire absent")</f>
        <v>0</v>
      </c>
      <c r="AB105" s="118">
        <f ca="1">IF(10*COUNTIF(AB4:AB104,"*")='planning beneficiaires'!AK49*10,10*COUNTIF(AB4:AB104,"*"),"Doublon ou Bénéficiaire absent")</f>
        <v>0</v>
      </c>
      <c r="AC105" s="118">
        <f ca="1">IF(10*COUNTIF(AC4:AC104,"*")='planning beneficiaires'!AL49*10,10*COUNTIF(AC4:AC104,"*"),"Doublon ou Bénéficiaire absent")</f>
        <v>0</v>
      </c>
      <c r="AD105" s="118">
        <f ca="1">IF(10*COUNTIF(AD4:AD104,"*")='planning beneficiaires'!AM49*10,10*COUNTIF(AD4:AD104,"*"),"Doublon ou Bénéficiaire absent")</f>
        <v>0</v>
      </c>
      <c r="AE105" s="118">
        <f ca="1">IF(10*COUNTIF(AE4:AE104,"*")='planning beneficiaires'!AN49*10,10*COUNTIF(AE4:AE104,"*"),"Doublon ou Bénéficiaire absent")</f>
        <v>0</v>
      </c>
      <c r="AF105" s="20"/>
      <c r="AG105" s="20"/>
    </row>
    <row r="106" spans="1:61" ht="17.399999999999999" customHeight="1" x14ac:dyDescent="0.35">
      <c r="A106" s="202" t="s">
        <v>50</v>
      </c>
      <c r="B106" s="203"/>
      <c r="C106" s="204"/>
      <c r="D106" s="54">
        <f ca="1">SUM(D105:AE105)</f>
        <v>1780</v>
      </c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20"/>
      <c r="AG106" s="20"/>
    </row>
    <row r="107" spans="1:61" ht="7.8" x14ac:dyDescent="0.15">
      <c r="A107" s="22"/>
      <c r="B107" s="22"/>
      <c r="C107" s="22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61" ht="7.8" x14ac:dyDescent="0.15">
      <c r="A108" s="22"/>
      <c r="B108" s="22"/>
      <c r="C108" s="22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61" ht="7.8" x14ac:dyDescent="0.15">
      <c r="A109" s="22"/>
      <c r="B109" s="22"/>
      <c r="C109" s="22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61" ht="7.8" x14ac:dyDescent="0.15">
      <c r="A110" s="22"/>
      <c r="B110" s="22"/>
      <c r="C110" s="22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61" ht="7.8" x14ac:dyDescent="0.15">
      <c r="A111" s="22"/>
      <c r="B111" s="22"/>
      <c r="C111" s="22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61" ht="7.8" x14ac:dyDescent="0.15">
      <c r="A112" s="22"/>
      <c r="B112" s="22"/>
      <c r="C112" s="22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7.8" x14ac:dyDescent="0.15">
      <c r="A113" s="22"/>
      <c r="B113" s="22"/>
      <c r="C113" s="22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7.8" x14ac:dyDescent="0.15">
      <c r="A114" s="22"/>
      <c r="B114" s="22"/>
      <c r="C114" s="22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7.8" x14ac:dyDescent="0.15">
      <c r="A115" s="22"/>
      <c r="B115" s="22"/>
      <c r="C115" s="22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7.8" x14ac:dyDescent="0.15">
      <c r="A116" s="22"/>
      <c r="B116" s="22"/>
      <c r="C116" s="22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7.8" x14ac:dyDescent="0.15">
      <c r="A117" s="22"/>
      <c r="B117" s="22"/>
      <c r="C117" s="22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7.8" x14ac:dyDescent="0.15">
      <c r="A118" s="22"/>
      <c r="B118" s="22"/>
      <c r="C118" s="22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7.8" x14ac:dyDescent="0.15">
      <c r="A119" s="22"/>
      <c r="B119" s="22"/>
      <c r="C119" s="22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7.8" x14ac:dyDescent="0.15">
      <c r="A120" s="22"/>
      <c r="B120" s="22"/>
      <c r="C120" s="22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7.8" x14ac:dyDescent="0.15">
      <c r="A121" s="22"/>
      <c r="B121" s="22"/>
      <c r="C121" s="22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7.8" x14ac:dyDescent="0.15">
      <c r="A122" s="22"/>
      <c r="B122" s="22"/>
      <c r="C122" s="22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7.8" x14ac:dyDescent="0.15">
      <c r="A123" s="22"/>
      <c r="B123" s="22"/>
      <c r="C123" s="22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7.8" x14ac:dyDescent="0.15">
      <c r="A124" s="22"/>
      <c r="B124" s="22"/>
      <c r="C124" s="22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7.8" x14ac:dyDescent="0.15">
      <c r="A125" s="22"/>
      <c r="B125" s="22"/>
      <c r="C125" s="22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7.8" x14ac:dyDescent="0.15">
      <c r="A126" s="22"/>
      <c r="B126" s="22"/>
      <c r="C126" s="22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7.8" x14ac:dyDescent="0.15">
      <c r="A127" s="22"/>
      <c r="B127" s="22"/>
      <c r="C127" s="22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7.8" x14ac:dyDescent="0.15">
      <c r="A128" s="22"/>
      <c r="B128" s="22"/>
      <c r="C128" s="22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7.8" x14ac:dyDescent="0.15">
      <c r="A129" s="22"/>
      <c r="B129" s="22"/>
      <c r="C129" s="22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7.8" x14ac:dyDescent="0.15">
      <c r="A130" s="22"/>
      <c r="B130" s="22"/>
      <c r="C130" s="22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7.8" x14ac:dyDescent="0.15">
      <c r="A131" s="22"/>
      <c r="B131" s="22"/>
      <c r="C131" s="22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7.8" x14ac:dyDescent="0.15">
      <c r="A132" s="22"/>
      <c r="B132" s="22"/>
      <c r="C132" s="22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7.8" x14ac:dyDescent="0.15">
      <c r="A133" s="22"/>
      <c r="B133" s="22"/>
      <c r="C133" s="22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7.8" x14ac:dyDescent="0.15">
      <c r="A134" s="22"/>
      <c r="B134" s="22"/>
      <c r="C134" s="22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7.8" x14ac:dyDescent="0.15">
      <c r="A135" s="22"/>
      <c r="B135" s="22"/>
      <c r="C135" s="22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7.8" x14ac:dyDescent="0.15">
      <c r="A136" s="22"/>
      <c r="B136" s="22"/>
      <c r="C136" s="22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7.8" x14ac:dyDescent="0.15">
      <c r="A137" s="22"/>
      <c r="B137" s="22"/>
      <c r="C137" s="22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7.8" x14ac:dyDescent="0.15">
      <c r="A138" s="22"/>
      <c r="B138" s="22"/>
      <c r="C138" s="22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7.8" x14ac:dyDescent="0.15">
      <c r="A139" s="22"/>
      <c r="B139" s="22"/>
      <c r="C139" s="22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7.8" x14ac:dyDescent="0.15">
      <c r="A140" s="22"/>
      <c r="B140" s="22"/>
      <c r="C140" s="22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7.8" x14ac:dyDescent="0.15">
      <c r="A141" s="22"/>
      <c r="B141" s="22"/>
      <c r="C141" s="22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7.8" x14ac:dyDescent="0.15">
      <c r="A142" s="22"/>
      <c r="B142" s="22"/>
      <c r="C142" s="22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7.8" x14ac:dyDescent="0.15">
      <c r="A143" s="22"/>
      <c r="B143" s="22"/>
      <c r="C143" s="22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7.8" x14ac:dyDescent="0.15">
      <c r="A144" s="22"/>
      <c r="B144" s="22"/>
      <c r="C144" s="22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7.8" x14ac:dyDescent="0.15">
      <c r="A145" s="22"/>
      <c r="B145" s="22"/>
      <c r="C145" s="22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7.8" x14ac:dyDescent="0.15">
      <c r="A146" s="22"/>
      <c r="B146" s="22"/>
      <c r="C146" s="22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7.8" x14ac:dyDescent="0.15">
      <c r="A147" s="22"/>
      <c r="B147" s="22"/>
      <c r="C147" s="22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7.8" x14ac:dyDescent="0.15">
      <c r="A148" s="22"/>
      <c r="B148" s="22"/>
      <c r="C148" s="22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7.8" x14ac:dyDescent="0.15">
      <c r="A149" s="22"/>
      <c r="B149" s="22"/>
      <c r="C149" s="22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7.8" x14ac:dyDescent="0.15">
      <c r="A150" s="22"/>
      <c r="B150" s="22"/>
      <c r="C150" s="22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7.8" x14ac:dyDescent="0.15">
      <c r="A151" s="22"/>
      <c r="B151" s="22"/>
      <c r="C151" s="22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7.8" x14ac:dyDescent="0.15">
      <c r="A152" s="22"/>
      <c r="B152" s="22"/>
      <c r="C152" s="22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7.8" x14ac:dyDescent="0.15">
      <c r="A153" s="22"/>
      <c r="B153" s="22"/>
      <c r="C153" s="22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7.8" x14ac:dyDescent="0.15">
      <c r="A154" s="22"/>
      <c r="B154" s="22"/>
      <c r="C154" s="22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7.8" x14ac:dyDescent="0.15">
      <c r="A155" s="22"/>
      <c r="B155" s="22"/>
      <c r="C155" s="22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7.8" x14ac:dyDescent="0.15">
      <c r="A156" s="22"/>
      <c r="B156" s="22"/>
      <c r="C156" s="22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7.8" x14ac:dyDescent="0.15">
      <c r="A157" s="22"/>
      <c r="B157" s="22"/>
      <c r="C157" s="22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7.8" x14ac:dyDescent="0.15">
      <c r="A158" s="22"/>
      <c r="B158" s="22"/>
      <c r="C158" s="22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7.8" x14ac:dyDescent="0.15">
      <c r="A159" s="22"/>
      <c r="B159" s="22"/>
      <c r="C159" s="22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7.8" x14ac:dyDescent="0.15">
      <c r="A160" s="22"/>
      <c r="B160" s="22"/>
      <c r="C160" s="22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7.8" x14ac:dyDescent="0.15">
      <c r="A161" s="22"/>
      <c r="B161" s="22"/>
      <c r="C161" s="22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7.8" x14ac:dyDescent="0.15">
      <c r="A162" s="22"/>
      <c r="B162" s="22"/>
      <c r="C162" s="22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7.8" x14ac:dyDescent="0.15">
      <c r="A163" s="22"/>
      <c r="B163" s="22"/>
      <c r="C163" s="22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7.8" x14ac:dyDescent="0.15">
      <c r="A164" s="22"/>
      <c r="B164" s="22"/>
      <c r="C164" s="22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7.8" x14ac:dyDescent="0.15">
      <c r="A165" s="22"/>
      <c r="B165" s="22"/>
      <c r="C165" s="22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7.8" x14ac:dyDescent="0.15">
      <c r="A166" s="22"/>
      <c r="B166" s="22"/>
      <c r="C166" s="22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</sheetData>
  <sheetProtection sheet="1" objects="1" scenarios="1" selectLockedCells="1"/>
  <mergeCells count="15">
    <mergeCell ref="A106:C106"/>
    <mergeCell ref="B24:B33"/>
    <mergeCell ref="B14:B23"/>
    <mergeCell ref="B95:B104"/>
    <mergeCell ref="A34:A74"/>
    <mergeCell ref="B34:B64"/>
    <mergeCell ref="A75:A104"/>
    <mergeCell ref="B75:B94"/>
    <mergeCell ref="A4:A33"/>
    <mergeCell ref="B4:B13"/>
    <mergeCell ref="A2:A3"/>
    <mergeCell ref="B2:B3"/>
    <mergeCell ref="C2:C3"/>
    <mergeCell ref="B65:B74"/>
    <mergeCell ref="A105:C105"/>
  </mergeCells>
  <conditionalFormatting sqref="F4:F42 F64:F85 F91:F104">
    <cfRule type="duplicateValues" dxfId="118" priority="98"/>
  </conditionalFormatting>
  <conditionalFormatting sqref="D4:D42 D64:D85 D91:D104">
    <cfRule type="duplicateValues" dxfId="117" priority="97"/>
  </conditionalFormatting>
  <conditionalFormatting sqref="H4:H42 H64:H85 H91:H104">
    <cfRule type="duplicateValues" dxfId="116" priority="96"/>
  </conditionalFormatting>
  <conditionalFormatting sqref="F43:F63">
    <cfRule type="duplicateValues" dxfId="115" priority="88"/>
  </conditionalFormatting>
  <conditionalFormatting sqref="D43:D63">
    <cfRule type="duplicateValues" dxfId="114" priority="87"/>
  </conditionalFormatting>
  <conditionalFormatting sqref="H43:H63">
    <cfRule type="duplicateValues" dxfId="113" priority="86"/>
  </conditionalFormatting>
  <conditionalFormatting sqref="E4:E42 E64:E85 E91:E104">
    <cfRule type="duplicateValues" dxfId="112" priority="78"/>
  </conditionalFormatting>
  <conditionalFormatting sqref="E43:E63">
    <cfRule type="duplicateValues" dxfId="111" priority="77"/>
  </conditionalFormatting>
  <conditionalFormatting sqref="J4:J42 J64:J85 J91:J104">
    <cfRule type="duplicateValues" dxfId="110" priority="76"/>
  </conditionalFormatting>
  <conditionalFormatting sqref="J43:J63">
    <cfRule type="duplicateValues" dxfId="109" priority="75"/>
  </conditionalFormatting>
  <conditionalFormatting sqref="G4:G42 G64:G85 G91:G104">
    <cfRule type="duplicateValues" dxfId="108" priority="38"/>
  </conditionalFormatting>
  <conditionalFormatting sqref="G43:G63">
    <cfRule type="duplicateValues" dxfId="107" priority="37"/>
  </conditionalFormatting>
  <conditionalFormatting sqref="L4:L42 L64:L85 L91:L104">
    <cfRule type="duplicateValues" dxfId="106" priority="36"/>
  </conditionalFormatting>
  <conditionalFormatting sqref="L43:L63">
    <cfRule type="duplicateValues" dxfId="105" priority="35"/>
  </conditionalFormatting>
  <conditionalFormatting sqref="N4:N42 N64:N85 N91:N104">
    <cfRule type="duplicateValues" dxfId="104" priority="34"/>
  </conditionalFormatting>
  <conditionalFormatting sqref="N43:N63">
    <cfRule type="duplicateValues" dxfId="103" priority="33"/>
  </conditionalFormatting>
  <conditionalFormatting sqref="P4:P42 P64:P85 P91:P104">
    <cfRule type="duplicateValues" dxfId="102" priority="32"/>
  </conditionalFormatting>
  <conditionalFormatting sqref="P43:P63">
    <cfRule type="duplicateValues" dxfId="101" priority="31"/>
  </conditionalFormatting>
  <conditionalFormatting sqref="R4:R42 R64:R85 R91:R104">
    <cfRule type="duplicateValues" dxfId="100" priority="30"/>
  </conditionalFormatting>
  <conditionalFormatting sqref="R43:R63">
    <cfRule type="duplicateValues" dxfId="99" priority="29"/>
  </conditionalFormatting>
  <conditionalFormatting sqref="T4:T42 T64:T85 T91:T104">
    <cfRule type="duplicateValues" dxfId="98" priority="28"/>
  </conditionalFormatting>
  <conditionalFormatting sqref="T43:T63">
    <cfRule type="duplicateValues" dxfId="97" priority="27"/>
  </conditionalFormatting>
  <conditionalFormatting sqref="V4:V42 V64:V85 V91:V104">
    <cfRule type="duplicateValues" dxfId="96" priority="26"/>
  </conditionalFormatting>
  <conditionalFormatting sqref="V43:V63">
    <cfRule type="duplicateValues" dxfId="95" priority="25"/>
  </conditionalFormatting>
  <conditionalFormatting sqref="X4:X42 X64:X85 X91:X104">
    <cfRule type="duplicateValues" dxfId="94" priority="24"/>
  </conditionalFormatting>
  <conditionalFormatting sqref="X43:X63">
    <cfRule type="duplicateValues" dxfId="93" priority="23"/>
  </conditionalFormatting>
  <conditionalFormatting sqref="Z4:Z42 Z64:Z85 Z91:Z104">
    <cfRule type="duplicateValues" dxfId="92" priority="22"/>
  </conditionalFormatting>
  <conditionalFormatting sqref="Z43:Z63">
    <cfRule type="duplicateValues" dxfId="91" priority="21"/>
  </conditionalFormatting>
  <conditionalFormatting sqref="AB4:AB42 AB64:AB85 AB91:AB104">
    <cfRule type="duplicateValues" dxfId="90" priority="20"/>
  </conditionalFormatting>
  <conditionalFormatting sqref="AB43:AB63">
    <cfRule type="duplicateValues" dxfId="89" priority="19"/>
  </conditionalFormatting>
  <conditionalFormatting sqref="AD4:AD42 AD64:AD85 AD91:AD104">
    <cfRule type="duplicateValues" dxfId="88" priority="18"/>
  </conditionalFormatting>
  <conditionalFormatting sqref="AD43:AD63">
    <cfRule type="duplicateValues" dxfId="87" priority="17"/>
  </conditionalFormatting>
  <conditionalFormatting sqref="F86:F90">
    <cfRule type="duplicateValues" dxfId="86" priority="16"/>
  </conditionalFormatting>
  <conditionalFormatting sqref="D86:D90">
    <cfRule type="duplicateValues" dxfId="85" priority="15"/>
  </conditionalFormatting>
  <conditionalFormatting sqref="H86:H90">
    <cfRule type="duplicateValues" dxfId="84" priority="14"/>
  </conditionalFormatting>
  <conditionalFormatting sqref="E86:E90">
    <cfRule type="duplicateValues" dxfId="83" priority="13"/>
  </conditionalFormatting>
  <conditionalFormatting sqref="J86:J90">
    <cfRule type="duplicateValues" dxfId="82" priority="12"/>
  </conditionalFormatting>
  <conditionalFormatting sqref="G86:G90">
    <cfRule type="duplicateValues" dxfId="81" priority="11"/>
  </conditionalFormatting>
  <conditionalFormatting sqref="L86:L90">
    <cfRule type="duplicateValues" dxfId="80" priority="10"/>
  </conditionalFormatting>
  <conditionalFormatting sqref="N86:N90">
    <cfRule type="duplicateValues" dxfId="79" priority="9"/>
  </conditionalFormatting>
  <conditionalFormatting sqref="P86:P90">
    <cfRule type="duplicateValues" dxfId="78" priority="8"/>
  </conditionalFormatting>
  <conditionalFormatting sqref="R86:R90">
    <cfRule type="duplicateValues" dxfId="77" priority="7"/>
  </conditionalFormatting>
  <conditionalFormatting sqref="T86:T90">
    <cfRule type="duplicateValues" dxfId="76" priority="6"/>
  </conditionalFormatting>
  <conditionalFormatting sqref="V86:V90">
    <cfRule type="duplicateValues" dxfId="75" priority="5"/>
  </conditionalFormatting>
  <conditionalFormatting sqref="X86:X90">
    <cfRule type="duplicateValues" dxfId="74" priority="4"/>
  </conditionalFormatting>
  <conditionalFormatting sqref="Z86:Z90">
    <cfRule type="duplicateValues" dxfId="73" priority="3"/>
  </conditionalFormatting>
  <conditionalFormatting sqref="AB86:AB90">
    <cfRule type="duplicateValues" dxfId="72" priority="2"/>
  </conditionalFormatting>
  <conditionalFormatting sqref="AD86:AD90">
    <cfRule type="duplicateValues" dxfId="71" priority="1"/>
  </conditionalFormatting>
  <dataValidations count="1">
    <dataValidation type="list" allowBlank="1" showInputMessage="1" showErrorMessage="1" sqref="D4:AE104">
      <formula1>lst_beneficiaires</formula1>
    </dataValidation>
  </dataValidations>
  <printOptions horizontalCentered="1" verticalCentered="1"/>
  <pageMargins left="0.31496062992125984" right="0.31496062992125984" top="1.1811023622047245" bottom="0.62992125984251968" header="0.47244094488188981" footer="0.23622047244094491"/>
  <pageSetup paperSize="8" orientation="landscape" r:id="rId1"/>
  <headerFooter>
    <oddHeader>&amp;L&amp;G&amp;C&amp;"Trebuchet MS,Gras"&amp;14GRAAP  - PLANNING DES ATELIERS&amp;R&amp;"-,Gras"&amp;14Page &amp;P</oddHeader>
    <oddFooter>&amp;L&amp;8Fichier du classeur  : &amp;Z&amp;F&amp;C&amp;8Onglet : &amp;A&amp;R&amp;8Imprimé le &amp;D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N49"/>
  <sheetViews>
    <sheetView showGridLines="0" zoomScaleNormal="100" zoomScaleSheetLayoutView="85" zoomScalePageLayoutView="80" workbookViewId="0">
      <pane xSplit="12" ySplit="2" topLeftCell="M3" activePane="bottomRight" state="frozen"/>
      <selection activeCell="C63" sqref="A63:XFD63"/>
      <selection pane="topRight" activeCell="C63" sqref="A63:XFD63"/>
      <selection pane="bottomLeft" activeCell="C63" sqref="A63:XFD63"/>
      <selection pane="bottomRight" activeCell="C1" sqref="C1"/>
    </sheetView>
  </sheetViews>
  <sheetFormatPr baseColWidth="10" defaultColWidth="11.5546875" defaultRowHeight="16.2" x14ac:dyDescent="0.35"/>
  <cols>
    <col min="1" max="1" width="3" style="32" bestFit="1" customWidth="1"/>
    <col min="2" max="2" width="12.5546875" style="33" bestFit="1" customWidth="1"/>
    <col min="3" max="3" width="14.44140625" style="33" bestFit="1" customWidth="1"/>
    <col min="4" max="4" width="20.6640625" style="31" hidden="1" customWidth="1"/>
    <col min="5" max="5" width="20.88671875" style="31" hidden="1" customWidth="1"/>
    <col min="6" max="9" width="5.44140625" style="31" bestFit="1" customWidth="1"/>
    <col min="10" max="11" width="4.6640625" style="31" hidden="1" customWidth="1"/>
    <col min="12" max="12" width="4" style="31" customWidth="1"/>
    <col min="13" max="13" width="15.6640625" style="34" customWidth="1"/>
    <col min="14" max="14" width="15.6640625" style="34" hidden="1" customWidth="1"/>
    <col min="15" max="15" width="15.6640625" style="34" customWidth="1"/>
    <col min="16" max="16" width="15.6640625" style="34" hidden="1" customWidth="1"/>
    <col min="17" max="17" width="15.6640625" style="34" customWidth="1"/>
    <col min="18" max="18" width="15.6640625" style="34" hidden="1" customWidth="1"/>
    <col min="19" max="19" width="15.6640625" style="34" customWidth="1"/>
    <col min="20" max="20" width="15.6640625" style="34" hidden="1" customWidth="1"/>
    <col min="21" max="21" width="15.6640625" style="34" customWidth="1"/>
    <col min="22" max="22" width="15.6640625" style="34" hidden="1" customWidth="1"/>
    <col min="23" max="23" width="15.6640625" style="34" customWidth="1"/>
    <col min="24" max="24" width="15.6640625" style="34" hidden="1" customWidth="1"/>
    <col min="25" max="25" width="15.6640625" style="34" customWidth="1"/>
    <col min="26" max="26" width="15.6640625" style="34" hidden="1" customWidth="1"/>
    <col min="27" max="27" width="15.6640625" style="34" customWidth="1"/>
    <col min="28" max="28" width="15.6640625" style="34" hidden="1" customWidth="1"/>
    <col min="29" max="29" width="15.6640625" style="34" customWidth="1"/>
    <col min="30" max="30" width="15.6640625" style="34" hidden="1" customWidth="1"/>
    <col min="31" max="31" width="15.6640625" style="34" customWidth="1"/>
    <col min="32" max="40" width="15.6640625" style="34" hidden="1" customWidth="1"/>
    <col min="41" max="16384" width="11.5546875" style="31"/>
  </cols>
  <sheetData>
    <row r="1" spans="1:40" s="33" customFormat="1" ht="34.950000000000003" customHeight="1" x14ac:dyDescent="0.35">
      <c r="A1" s="62"/>
      <c r="B1" s="62" t="s">
        <v>45</v>
      </c>
      <c r="C1" s="66">
        <v>42744</v>
      </c>
      <c r="D1" s="64" t="s">
        <v>46</v>
      </c>
      <c r="E1" s="65"/>
      <c r="F1" s="217">
        <f>WEEKNUM(C1,21)</f>
        <v>2</v>
      </c>
      <c r="G1" s="218"/>
      <c r="H1" s="218"/>
      <c r="I1" s="218"/>
      <c r="J1" s="218"/>
      <c r="K1" s="218"/>
      <c r="L1" s="219"/>
      <c r="M1" s="154">
        <f>C1</f>
        <v>42744</v>
      </c>
      <c r="N1" s="156"/>
      <c r="O1" s="160">
        <f>C1</f>
        <v>42744</v>
      </c>
      <c r="P1" s="155"/>
      <c r="Q1" s="154">
        <f>M1+1</f>
        <v>42745</v>
      </c>
      <c r="R1" s="156"/>
      <c r="S1" s="160">
        <f>Q1</f>
        <v>42745</v>
      </c>
      <c r="T1" s="155"/>
      <c r="U1" s="154">
        <f>Q1+1</f>
        <v>42746</v>
      </c>
      <c r="V1" s="156"/>
      <c r="W1" s="160">
        <f>U1</f>
        <v>42746</v>
      </c>
      <c r="X1" s="155"/>
      <c r="Y1" s="154">
        <f>U1+1</f>
        <v>42747</v>
      </c>
      <c r="Z1" s="156"/>
      <c r="AA1" s="160">
        <f>Y1</f>
        <v>42747</v>
      </c>
      <c r="AB1" s="155"/>
      <c r="AC1" s="154">
        <f>Y1+1</f>
        <v>42748</v>
      </c>
      <c r="AD1" s="156"/>
      <c r="AE1" s="160">
        <f>AC1</f>
        <v>42748</v>
      </c>
      <c r="AF1" s="155"/>
      <c r="AG1" s="154">
        <f>AC1+1</f>
        <v>42749</v>
      </c>
      <c r="AH1" s="156"/>
      <c r="AI1" s="160">
        <f>AG1</f>
        <v>42749</v>
      </c>
      <c r="AJ1" s="155"/>
      <c r="AK1" s="154">
        <f>AG1+1</f>
        <v>42750</v>
      </c>
      <c r="AL1" s="156"/>
      <c r="AM1" s="160">
        <f>AK1</f>
        <v>42750</v>
      </c>
      <c r="AN1" s="155"/>
    </row>
    <row r="2" spans="1:40" ht="34.950000000000003" customHeight="1" x14ac:dyDescent="0.35">
      <c r="A2" s="62" t="s">
        <v>17</v>
      </c>
      <c r="B2" s="62" t="s">
        <v>25</v>
      </c>
      <c r="C2" s="62" t="s">
        <v>44</v>
      </c>
      <c r="D2" s="62" t="s">
        <v>16</v>
      </c>
      <c r="E2" s="62"/>
      <c r="F2" s="62" t="str">
        <f>IF(COUNTA(beneficiaires!$K$2),beneficiaires!$K$2,"")</f>
        <v>SCH</v>
      </c>
      <c r="G2" s="62" t="str">
        <f>IF(COUNTA(beneficiaires!$K$3),beneficiaires!$K$3,"")</f>
        <v>PS</v>
      </c>
      <c r="H2" s="62" t="str">
        <f>IF(COUNTA(beneficiaires!$K$4),beneficiaires!$K$4,"")</f>
        <v>FS</v>
      </c>
      <c r="I2" s="62" t="str">
        <f>IF(COUNTA(beneficiaires!$K$5),beneficiaires!$K$5,"")</f>
        <v>AW</v>
      </c>
      <c r="J2" s="62" t="str">
        <f>IF(COUNTA(beneficiaires!$K$6),beneficiaires!$K$6,"")</f>
        <v xml:space="preserve"> </v>
      </c>
      <c r="K2" s="62" t="str">
        <f>IF(COUNTA(beneficiaires!$K$7),beneficiaires!$K$7,"")</f>
        <v xml:space="preserve"> </v>
      </c>
      <c r="L2" s="62" t="s">
        <v>0</v>
      </c>
      <c r="M2" s="63" t="str">
        <f>planning_general!D3</f>
        <v>Matin</v>
      </c>
      <c r="N2" s="63" t="str">
        <f>planning_general!E3</f>
        <v>Midi</v>
      </c>
      <c r="O2" s="63" t="str">
        <f>planning_general!F3</f>
        <v>Après-midi</v>
      </c>
      <c r="P2" s="63" t="str">
        <f>planning_general!G3</f>
        <v>Soir</v>
      </c>
      <c r="Q2" s="63" t="str">
        <f>planning_general!H3</f>
        <v>Matin</v>
      </c>
      <c r="R2" s="63" t="str">
        <f>planning_general!I3</f>
        <v>Midi</v>
      </c>
      <c r="S2" s="63" t="str">
        <f>planning_general!J3</f>
        <v>Après-midi</v>
      </c>
      <c r="T2" s="63" t="str">
        <f>planning_general!K3</f>
        <v>Soir</v>
      </c>
      <c r="U2" s="63" t="str">
        <f>planning_general!L3</f>
        <v>Matin</v>
      </c>
      <c r="V2" s="63" t="str">
        <f>planning_general!M3</f>
        <v>Midi</v>
      </c>
      <c r="W2" s="63" t="str">
        <f>planning_general!N3</f>
        <v>Après-midi</v>
      </c>
      <c r="X2" s="63" t="str">
        <f>planning_general!O3</f>
        <v>Soir</v>
      </c>
      <c r="Y2" s="63" t="str">
        <f>planning_general!P3</f>
        <v>Matin</v>
      </c>
      <c r="Z2" s="63" t="str">
        <f>planning_general!Q3</f>
        <v>Midi</v>
      </c>
      <c r="AA2" s="63" t="str">
        <f>planning_general!R3</f>
        <v>Après-midi</v>
      </c>
      <c r="AB2" s="63" t="str">
        <f>planning_general!S3</f>
        <v>Soir</v>
      </c>
      <c r="AC2" s="63" t="str">
        <f>planning_general!T3</f>
        <v>Matin</v>
      </c>
      <c r="AD2" s="63" t="str">
        <f>planning_general!U3</f>
        <v>Midi</v>
      </c>
      <c r="AE2" s="63" t="str">
        <f>planning_general!V3</f>
        <v>Après-midi</v>
      </c>
      <c r="AF2" s="63" t="str">
        <f>planning_general!W3</f>
        <v>Soir</v>
      </c>
      <c r="AG2" s="63" t="str">
        <f>planning_general!X3</f>
        <v>Matin</v>
      </c>
      <c r="AH2" s="63" t="str">
        <f>planning_general!Y3</f>
        <v>Midi</v>
      </c>
      <c r="AI2" s="63" t="str">
        <f>planning_general!Z3</f>
        <v>Après-midi</v>
      </c>
      <c r="AJ2" s="63" t="str">
        <f>planning_general!AA3</f>
        <v>Soir</v>
      </c>
      <c r="AK2" s="63" t="str">
        <f>planning_general!AB3</f>
        <v>Matin</v>
      </c>
      <c r="AL2" s="63" t="str">
        <f>planning_general!AC3</f>
        <v>Midi</v>
      </c>
      <c r="AM2" s="63" t="str">
        <f>planning_general!AD3</f>
        <v>Après-midi</v>
      </c>
      <c r="AN2" s="63" t="str">
        <f>planning_general!AE3</f>
        <v>Soir</v>
      </c>
    </row>
    <row r="3" spans="1:40" ht="34.950000000000003" customHeight="1" x14ac:dyDescent="0.35">
      <c r="A3" s="35">
        <f>beneficiaires!$A2</f>
        <v>1</v>
      </c>
      <c r="B3" s="28" t="str">
        <f>beneficiaires!B2</f>
        <v>Angéloz</v>
      </c>
      <c r="C3" s="28" t="str">
        <f>beneficiaires!C2</f>
        <v>Sandrine</v>
      </c>
      <c r="D3" s="29" t="str">
        <f>beneficiaires!D2</f>
        <v>Sandrine_Angéloz</v>
      </c>
      <c r="E3" s="29" t="str">
        <f>beneficiaires!E2</f>
        <v>Angéloz_Sandrine</v>
      </c>
      <c r="F3" s="26" t="str">
        <f t="shared" ref="F3:K22" si="0">IF(VLOOKUP($E3,references,4)=F$2,1,"")</f>
        <v/>
      </c>
      <c r="G3" s="26">
        <f t="shared" si="0"/>
        <v>1</v>
      </c>
      <c r="H3" s="26" t="str">
        <f t="shared" si="0"/>
        <v/>
      </c>
      <c r="I3" s="26" t="str">
        <f t="shared" si="0"/>
        <v/>
      </c>
      <c r="J3" s="26" t="str">
        <f t="shared" si="0"/>
        <v/>
      </c>
      <c r="K3" s="26" t="str">
        <f t="shared" si="0"/>
        <v/>
      </c>
      <c r="L3" s="26">
        <f>beneficiaires!J2</f>
        <v>40</v>
      </c>
      <c r="M3" s="30" t="str">
        <f ca="1">IF(COUNTIF(planning_general!D$4:D$104,$D3),INDIRECT("'planning_general'!AH"&amp;MATCH($D3,planning_general!D$4:D$104,0)+4-1),"")</f>
        <v>Rédaction</v>
      </c>
      <c r="N3" s="30" t="str">
        <f ca="1">IF(COUNTIF(planning_general!E$4:E$104,$D3),INDIRECT("'planning_general'!AI"&amp;MATCH($D3,planning_general!E$4:E$104,0)+4-1),"")</f>
        <v/>
      </c>
      <c r="O3" s="30" t="str">
        <f ca="1">IF(COUNTIF(planning_general!F$4:F$104,$D3),INDIRECT("'planning_general'!AJ"&amp;MATCH($D3,planning_general!F$4:F$104,0)+4-1),"")</f>
        <v/>
      </c>
      <c r="P3" s="30" t="str">
        <f ca="1">IF(COUNTIF(planning_general!G$4:G$104,$D3),INDIRECT("'planning_general'!AK"&amp;MATCH($D3,planning_general!G$4:G$104,0)+4-1),"")</f>
        <v/>
      </c>
      <c r="Q3" s="30" t="str">
        <f ca="1">IF(COUNTIF(planning_general!H$4:H$104,$D3),INDIRECT("'planning_general'!AL"&amp;MATCH($D3,planning_general!H$4:H$104,0)+4-1),"")</f>
        <v/>
      </c>
      <c r="R3" s="30" t="str">
        <f ca="1">IF(COUNTIF(planning_general!I$4:I$104,$D3),INDIRECT("'planning_general'!AM"&amp;MATCH($D3,planning_general!I$4:I$104,0)+4-1),"")</f>
        <v/>
      </c>
      <c r="S3" s="30" t="str">
        <f ca="1">IF(COUNTIF(planning_general!J$4:J$104,$D3),INDIRECT("'planning_general'!AN"&amp;MATCH($D3,planning_general!J$4:J$104,0)+4-1),"")</f>
        <v/>
      </c>
      <c r="T3" s="30" t="str">
        <f ca="1">IF(COUNTIF(planning_general!K$4:K$104,$D3),INDIRECT("'planning_general'!AO"&amp;MATCH($D3,planning_general!K$4:K$104,0)+4-1),"")</f>
        <v/>
      </c>
      <c r="U3" s="30" t="str">
        <f ca="1">IF(COUNTIF(planning_general!L$4:L$104,$D3),INDIRECT("'planning_general'!AP"&amp;MATCH($D3,planning_general!L$4:L$104,0)+4-1),"")</f>
        <v>Rédaction</v>
      </c>
      <c r="V3" s="30" t="str">
        <f ca="1">IF(COUNTIF(planning_general!M$4:M$104,$D3),INDIRECT("'planning_general'!AQ"&amp;MATCH($D3,planning_general!M$4:M$104,0)+4-1),"")</f>
        <v/>
      </c>
      <c r="W3" s="30" t="str">
        <f ca="1">IF(COUNTIF(planning_general!N$4:N$104,$D3),INDIRECT("'planning_general'!AR"&amp;MATCH($D3,planning_general!N$4:N$104,0)+4-1),"")</f>
        <v>Rédaction</v>
      </c>
      <c r="X3" s="30" t="str">
        <f ca="1">IF(COUNTIF(planning_general!O$4:O$104,$D3),INDIRECT("'planning_general'!AS"&amp;MATCH($D3,planning_general!O$4:O$104,0)+4-1),"")</f>
        <v/>
      </c>
      <c r="Y3" s="30" t="str">
        <f ca="1">IF(COUNTIF(planning_general!P$4:P$104,$D3),INDIRECT("'planning_general'!AT"&amp;MATCH($D3,planning_general!P$4:P$104,0)+4-1),"")</f>
        <v>Rédaction</v>
      </c>
      <c r="Z3" s="30" t="str">
        <f ca="1">IF(COUNTIF(planning_general!Q$4:Q$104,$D3),INDIRECT("'planning_general'!AU"&amp;MATCH($D3,planning_general!Q$4:Q$104,0)+4-1),"")</f>
        <v/>
      </c>
      <c r="AA3" s="30" t="str">
        <f ca="1">IF(COUNTIF(planning_general!R$4:R$104,$D3),INDIRECT("'planning_general'!AV"&amp;MATCH($D3,planning_general!R$4:R$104,0)+4-1),"")</f>
        <v/>
      </c>
      <c r="AB3" s="30" t="str">
        <f ca="1">IF(COUNTIF(planning_general!S$4:S$104,$D3),INDIRECT("'planning_general'!AW"&amp;MATCH($D3,planning_general!S$4:S$104,0)+4-1),"")</f>
        <v/>
      </c>
      <c r="AC3" s="30" t="str">
        <f ca="1">IF(COUNTIF(planning_general!T$4:T$104,$D3),INDIRECT("'planning_general'!AX"&amp;MATCH($D3,planning_general!T$4:T$104,0)+4-1),"")</f>
        <v/>
      </c>
      <c r="AD3" s="30" t="str">
        <f ca="1">IF(COUNTIF(planning_general!U$4:U$104,$D3),INDIRECT("'planning_general'!AY"&amp;MATCH($D3,planning_general!U$4:U$104,0)+4-1),"")</f>
        <v/>
      </c>
      <c r="AE3" s="30" t="str">
        <f ca="1">IF(COUNTIF(planning_general!V$4:V$104,$D3),INDIRECT("'planning_general'!AZ"&amp;MATCH($D3,planning_general!V$4:V$104,0)+4-1),"")</f>
        <v/>
      </c>
      <c r="AF3" s="30" t="str">
        <f ca="1">IF(COUNTIF(planning_general!W$4:W$104,$D3),INDIRECT("'planning_general'!BA"&amp;MATCH($D3,planning_general!W$4:W$104,0)+4-1),"")</f>
        <v/>
      </c>
      <c r="AG3" s="30" t="str">
        <f ca="1">IF(COUNTIF(planning_general!X$4:X$104,$D3),INDIRECT("'planning_general'!BB"&amp;MATCH($D3,planning_general!X$4:X$104,0)+4-1),"")</f>
        <v/>
      </c>
      <c r="AH3" s="30" t="str">
        <f ca="1">IF(COUNTIF(planning_general!Y$4:Y$104,$D3),INDIRECT("'planning_general'!BC"&amp;MATCH($D3,planning_general!Y$4:Y$104,0)+4-1),"")</f>
        <v/>
      </c>
      <c r="AI3" s="30" t="str">
        <f ca="1">IF(COUNTIF(planning_general!Z$4:Z$104,$D3),INDIRECT("'planning_general'!BD"&amp;MATCH($D3,planning_general!Z$4:Z$104,0)+4-1),"")</f>
        <v/>
      </c>
      <c r="AJ3" s="30" t="str">
        <f ca="1">IF(COUNTIF(planning_general!AA$4:AA$104,$D3),INDIRECT("'planning_general'!BE"&amp;MATCH($D3,planning_general!AA$4:AA$104,0)+4-1),"")</f>
        <v/>
      </c>
      <c r="AK3" s="30" t="str">
        <f ca="1">IF(COUNTIF(planning_general!AB$4:AB$104,$D3),INDIRECT("'planning_general'!BF"&amp;MATCH($D3,planning_general!AB$4:AB$104,0)+4-1),"")</f>
        <v/>
      </c>
      <c r="AL3" s="30" t="str">
        <f ca="1">IF(COUNTIF(planning_general!AC$4:AC$104,$D3),INDIRECT("'planning_general'!BG"&amp;MATCH($D3,planning_general!AC$4:AC$104,0)+4-1),"")</f>
        <v/>
      </c>
      <c r="AM3" s="30" t="str">
        <f ca="1">IF(COUNTIF(planning_general!AD$4:AD$104,$D3),INDIRECT("'planning_general'!BH"&amp;MATCH($D3,planning_general!AD$4:AD$104,0)+4-1),"")</f>
        <v/>
      </c>
      <c r="AN3" s="30" t="str">
        <f ca="1">IF(COUNTIF(planning_general!AE$4:AE$104,$D3),INDIRECT("'planning_general'!BI"&amp;MATCH($D3,planning_general!AE$4:AE$104,0)+4-1),"")</f>
        <v/>
      </c>
    </row>
    <row r="4" spans="1:40" ht="34.950000000000003" customHeight="1" x14ac:dyDescent="0.35">
      <c r="A4" s="35">
        <f>beneficiaires!$A3</f>
        <v>2</v>
      </c>
      <c r="B4" s="28" t="str">
        <f>beneficiaires!B3</f>
        <v>Banderet</v>
      </c>
      <c r="C4" s="28" t="str">
        <f>beneficiaires!C3</f>
        <v>Cédric</v>
      </c>
      <c r="D4" s="29" t="str">
        <f>beneficiaires!D3</f>
        <v>Cédric_Banderet</v>
      </c>
      <c r="E4" s="29" t="str">
        <f>beneficiaires!E3</f>
        <v>Banderet_Cédric</v>
      </c>
      <c r="F4" s="26" t="str">
        <f t="shared" si="0"/>
        <v/>
      </c>
      <c r="G4" s="26" t="str">
        <f t="shared" si="0"/>
        <v/>
      </c>
      <c r="H4" s="26">
        <f t="shared" si="0"/>
        <v>1</v>
      </c>
      <c r="I4" s="26" t="str">
        <f t="shared" si="0"/>
        <v/>
      </c>
      <c r="J4" s="26" t="str">
        <f t="shared" si="0"/>
        <v/>
      </c>
      <c r="K4" s="26" t="str">
        <f t="shared" si="0"/>
        <v/>
      </c>
      <c r="L4" s="26">
        <f>beneficiaires!J3</f>
        <v>90</v>
      </c>
      <c r="M4" s="30" t="str">
        <f ca="1">IF(COUNTIF(planning_general!D$4:D$104,$D4),INDIRECT("'planning_general'!AH"&amp;MATCH($D4,planning_general!D$4:D$104,0)+4-1),"")</f>
        <v>Cuisine</v>
      </c>
      <c r="N4" s="30" t="str">
        <f ca="1">IF(COUNTIF(planning_general!E$4:E$104,$D4),INDIRECT("'planning_general'!AI"&amp;MATCH($D4,planning_general!E$4:E$104,0)+4-1),"")</f>
        <v/>
      </c>
      <c r="O4" s="30" t="str">
        <f ca="1">IF(COUNTIF(planning_general!F$4:F$104,$D4),INDIRECT("'planning_general'!AJ"&amp;MATCH($D4,planning_general!F$4:F$104,0)+4-1),"")</f>
        <v>Cuisine</v>
      </c>
      <c r="P4" s="30" t="str">
        <f ca="1">IF(COUNTIF(planning_general!G$4:G$104,$D4),INDIRECT("'planning_general'!AK"&amp;MATCH($D4,planning_general!G$4:G$104,0)+4-1),"")</f>
        <v/>
      </c>
      <c r="Q4" s="30" t="str">
        <f ca="1">IF(COUNTIF(planning_general!H$4:H$104,$D4),INDIRECT("'planning_general'!AL"&amp;MATCH($D4,planning_general!H$4:H$104,0)+4-1),"")</f>
        <v>Cuisine</v>
      </c>
      <c r="R4" s="30" t="str">
        <f ca="1">IF(COUNTIF(planning_general!I$4:I$104,$D4),INDIRECT("'planning_general'!AM"&amp;MATCH($D4,planning_general!I$4:I$104,0)+4-1),"")</f>
        <v/>
      </c>
      <c r="S4" s="30" t="str">
        <f ca="1">IF(COUNTIF(planning_general!J$4:J$104,$D4),INDIRECT("'planning_general'!AN"&amp;MATCH($D4,planning_general!J$4:J$104,0)+4-1),"")</f>
        <v>Cuisine</v>
      </c>
      <c r="T4" s="30" t="str">
        <f ca="1">IF(COUNTIF(planning_general!K$4:K$104,$D4),INDIRECT("'planning_general'!AO"&amp;MATCH($D4,planning_general!K$4:K$104,0)+4-1),"")</f>
        <v/>
      </c>
      <c r="U4" s="30" t="str">
        <f ca="1">IF(COUNTIF(planning_general!L$4:L$104,$D4),INDIRECT("'planning_general'!AP"&amp;MATCH($D4,planning_general!L$4:L$104,0)+4-1),"")</f>
        <v>Cuisine</v>
      </c>
      <c r="V4" s="30" t="str">
        <f ca="1">IF(COUNTIF(planning_general!M$4:M$104,$D4),INDIRECT("'planning_general'!AQ"&amp;MATCH($D4,planning_general!M$4:M$104,0)+4-1),"")</f>
        <v/>
      </c>
      <c r="W4" s="30" t="str">
        <f ca="1">IF(COUNTIF(planning_general!N$4:N$104,$D4),INDIRECT("'planning_general'!AR"&amp;MATCH($D4,planning_general!N$4:N$104,0)+4-1),"")</f>
        <v>Cuisine</v>
      </c>
      <c r="X4" s="30" t="str">
        <f ca="1">IF(COUNTIF(planning_general!O$4:O$104,$D4),INDIRECT("'planning_general'!AS"&amp;MATCH($D4,planning_general!O$4:O$104,0)+4-1),"")</f>
        <v/>
      </c>
      <c r="Y4" s="30" t="str">
        <f ca="1">IF(COUNTIF(planning_general!P$4:P$104,$D4),INDIRECT("'planning_general'!AT"&amp;MATCH($D4,planning_general!P$4:P$104,0)+4-1),"")</f>
        <v>Cuisine</v>
      </c>
      <c r="Z4" s="30" t="str">
        <f ca="1">IF(COUNTIF(planning_general!Q$4:Q$104,$D4),INDIRECT("'planning_general'!AU"&amp;MATCH($D4,planning_general!Q$4:Q$104,0)+4-1),"")</f>
        <v/>
      </c>
      <c r="AA4" s="30" t="str">
        <f ca="1">IF(COUNTIF(planning_general!R$4:R$104,$D4),INDIRECT("'planning_general'!AV"&amp;MATCH($D4,planning_general!R$4:R$104,0)+4-1),"")</f>
        <v>Cuisine</v>
      </c>
      <c r="AB4" s="30" t="str">
        <f ca="1">IF(COUNTIF(planning_general!S$4:S$104,$D4),INDIRECT("'planning_general'!AW"&amp;MATCH($D4,planning_general!S$4:S$104,0)+4-1),"")</f>
        <v/>
      </c>
      <c r="AC4" s="30" t="str">
        <f ca="1">IF(COUNTIF(planning_general!T$4:T$104,$D4),INDIRECT("'planning_general'!AX"&amp;MATCH($D4,planning_general!T$4:T$104,0)+4-1),"")</f>
        <v>Cuisine</v>
      </c>
      <c r="AD4" s="30" t="str">
        <f ca="1">IF(COUNTIF(planning_general!U$4:U$104,$D4),INDIRECT("'planning_general'!AY"&amp;MATCH($D4,planning_general!U$4:U$104,0)+4-1),"")</f>
        <v/>
      </c>
      <c r="AE4" s="30" t="str">
        <f ca="1">IF(COUNTIF(planning_general!V$4:V$104,$D4),INDIRECT("'planning_general'!AZ"&amp;MATCH($D4,planning_general!V$4:V$104,0)+4-1),"")</f>
        <v/>
      </c>
      <c r="AF4" s="30" t="str">
        <f ca="1">IF(COUNTIF(planning_general!W$4:W$104,$D4),INDIRECT("'planning_general'!BA"&amp;MATCH($D4,planning_general!W$4:W$104,0)+4-1),"")</f>
        <v/>
      </c>
      <c r="AG4" s="30" t="str">
        <f ca="1">IF(COUNTIF(planning_general!X$4:X$104,$D4),INDIRECT("'planning_general'!BB"&amp;MATCH($D4,planning_general!X$4:X$104,0)+4-1),"")</f>
        <v/>
      </c>
      <c r="AH4" s="30" t="str">
        <f ca="1">IF(COUNTIF(planning_general!Y$4:Y$104,$D4),INDIRECT("'planning_general'!BC"&amp;MATCH($D4,planning_general!Y$4:Y$104,0)+4-1),"")</f>
        <v/>
      </c>
      <c r="AI4" s="30" t="str">
        <f ca="1">IF(COUNTIF(planning_general!Z$4:Z$104,$D4),INDIRECT("'planning_general'!BD"&amp;MATCH($D4,planning_general!Z$4:Z$104,0)+4-1),"")</f>
        <v/>
      </c>
      <c r="AJ4" s="30" t="str">
        <f ca="1">IF(COUNTIF(planning_general!AA$4:AA$104,$D4),INDIRECT("'planning_general'!BE"&amp;MATCH($D4,planning_general!AA$4:AA$104,0)+4-1),"")</f>
        <v/>
      </c>
      <c r="AK4" s="30" t="str">
        <f ca="1">IF(COUNTIF(planning_general!AB$4:AB$104,$D4),INDIRECT("'planning_general'!BF"&amp;MATCH($D4,planning_general!AB$4:AB$104,0)+4-1),"")</f>
        <v/>
      </c>
      <c r="AL4" s="30" t="str">
        <f ca="1">IF(COUNTIF(planning_general!AC$4:AC$104,$D4),INDIRECT("'planning_general'!BG"&amp;MATCH($D4,planning_general!AC$4:AC$104,0)+4-1),"")</f>
        <v/>
      </c>
      <c r="AM4" s="30" t="str">
        <f ca="1">IF(COUNTIF(planning_general!AD$4:AD$104,$D4),INDIRECT("'planning_general'!BH"&amp;MATCH($D4,planning_general!AD$4:AD$104,0)+4-1),"")</f>
        <v/>
      </c>
      <c r="AN4" s="30" t="str">
        <f ca="1">IF(COUNTIF(planning_general!AE$4:AE$104,$D4),INDIRECT("'planning_general'!BI"&amp;MATCH($D4,planning_general!AE$4:AE$104,0)+4-1),"")</f>
        <v/>
      </c>
    </row>
    <row r="5" spans="1:40" ht="34.950000000000003" customHeight="1" x14ac:dyDescent="0.35">
      <c r="A5" s="35">
        <f>beneficiaires!$A4</f>
        <v>3</v>
      </c>
      <c r="B5" s="28" t="str">
        <f>beneficiaires!B4</f>
        <v>Berger</v>
      </c>
      <c r="C5" s="28" t="str">
        <f>beneficiaires!C4</f>
        <v>Anne-Laure</v>
      </c>
      <c r="D5" s="29" t="str">
        <f>beneficiaires!D4</f>
        <v>Anne-Laure_Berger</v>
      </c>
      <c r="E5" s="29" t="str">
        <f>beneficiaires!E4</f>
        <v>Berger_Anne-Laure</v>
      </c>
      <c r="F5" s="26">
        <f t="shared" si="0"/>
        <v>1</v>
      </c>
      <c r="G5" s="26" t="str">
        <f t="shared" si="0"/>
        <v/>
      </c>
      <c r="H5" s="26" t="str">
        <f t="shared" si="0"/>
        <v/>
      </c>
      <c r="I5" s="26" t="str">
        <f t="shared" si="0"/>
        <v/>
      </c>
      <c r="J5" s="26" t="str">
        <f t="shared" si="0"/>
        <v/>
      </c>
      <c r="K5" s="26" t="str">
        <f t="shared" si="0"/>
        <v/>
      </c>
      <c r="L5" s="26">
        <f>beneficiaires!J4</f>
        <v>30</v>
      </c>
      <c r="M5" s="30" t="str">
        <f ca="1">IF(COUNTIF(planning_general!D$4:D$104,$D5),INDIRECT("'planning_general'!AH"&amp;MATCH($D5,planning_general!D$4:D$104,0)+4-1),"")</f>
        <v/>
      </c>
      <c r="N5" s="30" t="str">
        <f ca="1">IF(COUNTIF(planning_general!E$4:E$104,$D5),INDIRECT("'planning_general'!AI"&amp;MATCH($D5,planning_general!E$4:E$104,0)+4-1),"")</f>
        <v/>
      </c>
      <c r="O5" s="30" t="str">
        <f ca="1">IF(COUNTIF(planning_general!F$4:F$104,$D5),INDIRECT("'planning_general'!AJ"&amp;MATCH($D5,planning_general!F$4:F$104,0)+4-1),"")</f>
        <v/>
      </c>
      <c r="P5" s="30" t="str">
        <f ca="1">IF(COUNTIF(planning_general!G$4:G$104,$D5),INDIRECT("'planning_general'!AK"&amp;MATCH($D5,planning_general!G$4:G$104,0)+4-1),"")</f>
        <v/>
      </c>
      <c r="Q5" s="30" t="str">
        <f ca="1">IF(COUNTIF(planning_general!H$4:H$104,$D5),INDIRECT("'planning_general'!AL"&amp;MATCH($D5,planning_general!H$4:H$104,0)+4-1),"")</f>
        <v/>
      </c>
      <c r="R5" s="30" t="str">
        <f ca="1">IF(COUNTIF(planning_general!I$4:I$104,$D5),INDIRECT("'planning_general'!AM"&amp;MATCH($D5,planning_general!I$4:I$104,0)+4-1),"")</f>
        <v/>
      </c>
      <c r="S5" s="30" t="str">
        <f ca="1">IF(COUNTIF(planning_general!J$4:J$104,$D5),INDIRECT("'planning_general'!AN"&amp;MATCH($D5,planning_general!J$4:J$104,0)+4-1),"")</f>
        <v/>
      </c>
      <c r="T5" s="30" t="str">
        <f ca="1">IF(COUNTIF(planning_general!K$4:K$104,$D5),INDIRECT("'planning_general'!AO"&amp;MATCH($D5,planning_general!K$4:K$104,0)+4-1),"")</f>
        <v/>
      </c>
      <c r="U5" s="30" t="str">
        <f ca="1">IF(COUNTIF(planning_general!L$4:L$104,$D5),INDIRECT("'planning_general'!AP"&amp;MATCH($D5,planning_general!L$4:L$104,0)+4-1),"")</f>
        <v>Production</v>
      </c>
      <c r="V5" s="30" t="str">
        <f ca="1">IF(COUNTIF(planning_general!M$4:M$104,$D5),INDIRECT("'planning_general'!AQ"&amp;MATCH($D5,planning_general!M$4:M$104,0)+4-1),"")</f>
        <v/>
      </c>
      <c r="W5" s="30" t="str">
        <f ca="1">IF(COUNTIF(planning_general!N$4:N$104,$D5),INDIRECT("'planning_general'!AR"&amp;MATCH($D5,planning_general!N$4:N$104,0)+4-1),"")</f>
        <v>Production</v>
      </c>
      <c r="X5" s="30" t="str">
        <f ca="1">IF(COUNTIF(planning_general!O$4:O$104,$D5),INDIRECT("'planning_general'!AS"&amp;MATCH($D5,planning_general!O$4:O$104,0)+4-1),"")</f>
        <v/>
      </c>
      <c r="Y5" s="30" t="str">
        <f ca="1">IF(COUNTIF(planning_general!P$4:P$104,$D5),INDIRECT("'planning_general'!AT"&amp;MATCH($D5,planning_general!P$4:P$104,0)+4-1),"")</f>
        <v/>
      </c>
      <c r="Z5" s="30" t="str">
        <f ca="1">IF(COUNTIF(planning_general!Q$4:Q$104,$D5),INDIRECT("'planning_general'!AU"&amp;MATCH($D5,planning_general!Q$4:Q$104,0)+4-1),"")</f>
        <v/>
      </c>
      <c r="AA5" s="30" t="str">
        <f ca="1">IF(COUNTIF(planning_general!R$4:R$104,$D5),INDIRECT("'planning_general'!AV"&amp;MATCH($D5,planning_general!R$4:R$104,0)+4-1),"")</f>
        <v>Production</v>
      </c>
      <c r="AB5" s="30" t="str">
        <f ca="1">IF(COUNTIF(planning_general!S$4:S$104,$D5),INDIRECT("'planning_general'!AW"&amp;MATCH($D5,planning_general!S$4:S$104,0)+4-1),"")</f>
        <v/>
      </c>
      <c r="AC5" s="30" t="str">
        <f ca="1">IF(COUNTIF(planning_general!T$4:T$104,$D5),INDIRECT("'planning_general'!AX"&amp;MATCH($D5,planning_general!T$4:T$104,0)+4-1),"")</f>
        <v/>
      </c>
      <c r="AD5" s="30" t="str">
        <f ca="1">IF(COUNTIF(planning_general!U$4:U$104,$D5),INDIRECT("'planning_general'!AY"&amp;MATCH($D5,planning_general!U$4:U$104,0)+4-1),"")</f>
        <v/>
      </c>
      <c r="AE5" s="30" t="str">
        <f ca="1">IF(COUNTIF(planning_general!V$4:V$104,$D5),INDIRECT("'planning_general'!AZ"&amp;MATCH($D5,planning_general!V$4:V$104,0)+4-1),"")</f>
        <v/>
      </c>
      <c r="AF5" s="30" t="str">
        <f ca="1">IF(COUNTIF(planning_general!W$4:W$104,$D5),INDIRECT("'planning_general'!BA"&amp;MATCH($D5,planning_general!W$4:W$104,0)+4-1),"")</f>
        <v/>
      </c>
      <c r="AG5" s="30" t="str">
        <f ca="1">IF(COUNTIF(planning_general!X$4:X$104,$D5),INDIRECT("'planning_general'!BB"&amp;MATCH($D5,planning_general!X$4:X$104,0)+4-1),"")</f>
        <v/>
      </c>
      <c r="AH5" s="30" t="str">
        <f ca="1">IF(COUNTIF(planning_general!Y$4:Y$104,$D5),INDIRECT("'planning_general'!BC"&amp;MATCH($D5,planning_general!Y$4:Y$104,0)+4-1),"")</f>
        <v/>
      </c>
      <c r="AI5" s="30" t="str">
        <f ca="1">IF(COUNTIF(planning_general!Z$4:Z$104,$D5),INDIRECT("'planning_general'!BD"&amp;MATCH($D5,planning_general!Z$4:Z$104,0)+4-1),"")</f>
        <v/>
      </c>
      <c r="AJ5" s="30" t="str">
        <f ca="1">IF(COUNTIF(planning_general!AA$4:AA$104,$D5),INDIRECT("'planning_general'!BE"&amp;MATCH($D5,planning_general!AA$4:AA$104,0)+4-1),"")</f>
        <v/>
      </c>
      <c r="AK5" s="30" t="str">
        <f ca="1">IF(COUNTIF(planning_general!AB$4:AB$104,$D5),INDIRECT("'planning_general'!BF"&amp;MATCH($D5,planning_general!AB$4:AB$104,0)+4-1),"")</f>
        <v/>
      </c>
      <c r="AL5" s="30" t="str">
        <f ca="1">IF(COUNTIF(planning_general!AC$4:AC$104,$D5),INDIRECT("'planning_general'!BG"&amp;MATCH($D5,planning_general!AC$4:AC$104,0)+4-1),"")</f>
        <v/>
      </c>
      <c r="AM5" s="30" t="str">
        <f ca="1">IF(COUNTIF(planning_general!AD$4:AD$104,$D5),INDIRECT("'planning_general'!BH"&amp;MATCH($D5,planning_general!AD$4:AD$104,0)+4-1),"")</f>
        <v/>
      </c>
      <c r="AN5" s="30" t="str">
        <f ca="1">IF(COUNTIF(planning_general!AE$4:AE$104,$D5),INDIRECT("'planning_general'!BI"&amp;MATCH($D5,planning_general!AE$4:AE$104,0)+4-1),"")</f>
        <v/>
      </c>
    </row>
    <row r="6" spans="1:40" ht="34.950000000000003" customHeight="1" x14ac:dyDescent="0.35">
      <c r="A6" s="35">
        <f>beneficiaires!$A5</f>
        <v>4</v>
      </c>
      <c r="B6" s="28" t="str">
        <f>beneficiaires!B5</f>
        <v>Bersier</v>
      </c>
      <c r="C6" s="28" t="str">
        <f>beneficiaires!C5</f>
        <v>Arwen</v>
      </c>
      <c r="D6" s="29" t="str">
        <f>beneficiaires!D5</f>
        <v>Arwen_Bersier</v>
      </c>
      <c r="E6" s="29" t="str">
        <f>beneficiaires!E5</f>
        <v>Bersier_Arwen</v>
      </c>
      <c r="F6" s="26" t="str">
        <f t="shared" si="0"/>
        <v/>
      </c>
      <c r="G6" s="26" t="str">
        <f t="shared" si="0"/>
        <v/>
      </c>
      <c r="H6" s="26">
        <f t="shared" si="0"/>
        <v>1</v>
      </c>
      <c r="I6" s="26" t="str">
        <f t="shared" si="0"/>
        <v/>
      </c>
      <c r="J6" s="26" t="str">
        <f t="shared" si="0"/>
        <v/>
      </c>
      <c r="K6" s="26" t="str">
        <f t="shared" si="0"/>
        <v/>
      </c>
      <c r="L6" s="26">
        <f>beneficiaires!J5</f>
        <v>60</v>
      </c>
      <c r="M6" s="30" t="str">
        <f ca="1">IF(COUNTIF(planning_general!D$4:D$104,$D6),INDIRECT("'planning_general'!AH"&amp;MATCH($D6,planning_general!D$4:D$104,0)+4-1),"")</f>
        <v>Cuisine</v>
      </c>
      <c r="N6" s="30" t="str">
        <f ca="1">IF(COUNTIF(planning_general!E$4:E$104,$D6),INDIRECT("'planning_general'!AI"&amp;MATCH($D6,planning_general!E$4:E$104,0)+4-1),"")</f>
        <v/>
      </c>
      <c r="O6" s="30" t="str">
        <f ca="1">IF(COUNTIF(planning_general!F$4:F$104,$D6),INDIRECT("'planning_general'!AJ"&amp;MATCH($D6,planning_general!F$4:F$104,0)+4-1),"")</f>
        <v>Cuisine</v>
      </c>
      <c r="P6" s="30" t="str">
        <f ca="1">IF(COUNTIF(planning_general!G$4:G$104,$D6),INDIRECT("'planning_general'!AK"&amp;MATCH($D6,planning_general!G$4:G$104,0)+4-1),"")</f>
        <v/>
      </c>
      <c r="Q6" s="30" t="str">
        <f ca="1">IF(COUNTIF(planning_general!H$4:H$104,$D6),INDIRECT("'planning_general'!AL"&amp;MATCH($D6,planning_general!H$4:H$104,0)+4-1),"")</f>
        <v>Cuisine</v>
      </c>
      <c r="R6" s="30" t="str">
        <f ca="1">IF(COUNTIF(planning_general!I$4:I$104,$D6),INDIRECT("'planning_general'!AM"&amp;MATCH($D6,planning_general!I$4:I$104,0)+4-1),"")</f>
        <v/>
      </c>
      <c r="S6" s="30" t="str">
        <f ca="1">IF(COUNTIF(planning_general!J$4:J$104,$D6),INDIRECT("'planning_general'!AN"&amp;MATCH($D6,planning_general!J$4:J$104,0)+4-1),"")</f>
        <v>Cuisine</v>
      </c>
      <c r="T6" s="30" t="str">
        <f ca="1">IF(COUNTIF(planning_general!K$4:K$104,$D6),INDIRECT("'planning_general'!AO"&amp;MATCH($D6,planning_general!K$4:K$104,0)+4-1),"")</f>
        <v/>
      </c>
      <c r="U6" s="30" t="str">
        <f ca="1">IF(COUNTIF(planning_general!L$4:L$104,$D6),INDIRECT("'planning_general'!AP"&amp;MATCH($D6,planning_general!L$4:L$104,0)+4-1),"")</f>
        <v>Cuisine</v>
      </c>
      <c r="V6" s="30" t="str">
        <f ca="1">IF(COUNTIF(planning_general!M$4:M$104,$D6),INDIRECT("'planning_general'!AQ"&amp;MATCH($D6,planning_general!M$4:M$104,0)+4-1),"")</f>
        <v/>
      </c>
      <c r="W6" s="30" t="str">
        <f ca="1">IF(COUNTIF(planning_general!N$4:N$104,$D6),INDIRECT("'planning_general'!AR"&amp;MATCH($D6,planning_general!N$4:N$104,0)+4-1),"")</f>
        <v>Cuisine</v>
      </c>
      <c r="X6" s="30" t="str">
        <f ca="1">IF(COUNTIF(planning_general!O$4:O$104,$D6),INDIRECT("'planning_general'!AS"&amp;MATCH($D6,planning_general!O$4:O$104,0)+4-1),"")</f>
        <v/>
      </c>
      <c r="Y6" s="30" t="str">
        <f ca="1">IF(COUNTIF(planning_general!P$4:P$104,$D6),INDIRECT("'planning_general'!AT"&amp;MATCH($D6,planning_general!P$4:P$104,0)+4-1),"")</f>
        <v/>
      </c>
      <c r="Z6" s="30" t="str">
        <f ca="1">IF(COUNTIF(planning_general!Q$4:Q$104,$D6),INDIRECT("'planning_general'!AU"&amp;MATCH($D6,planning_general!Q$4:Q$104,0)+4-1),"")</f>
        <v/>
      </c>
      <c r="AA6" s="30" t="str">
        <f ca="1">IF(COUNTIF(planning_general!R$4:R$104,$D6),INDIRECT("'planning_general'!AV"&amp;MATCH($D6,planning_general!R$4:R$104,0)+4-1),"")</f>
        <v/>
      </c>
      <c r="AB6" s="30" t="str">
        <f ca="1">IF(COUNTIF(planning_general!S$4:S$104,$D6),INDIRECT("'planning_general'!AW"&amp;MATCH($D6,planning_general!S$4:S$104,0)+4-1),"")</f>
        <v/>
      </c>
      <c r="AC6" s="30" t="str">
        <f ca="1">IF(COUNTIF(planning_general!T$4:T$104,$D6),INDIRECT("'planning_general'!AX"&amp;MATCH($D6,planning_general!T$4:T$104,0)+4-1),"")</f>
        <v/>
      </c>
      <c r="AD6" s="30" t="str">
        <f ca="1">IF(COUNTIF(planning_general!U$4:U$104,$D6),INDIRECT("'planning_general'!AY"&amp;MATCH($D6,planning_general!U$4:U$104,0)+4-1),"")</f>
        <v/>
      </c>
      <c r="AE6" s="30" t="str">
        <f ca="1">IF(COUNTIF(planning_general!V$4:V$104,$D6),INDIRECT("'planning_general'!AZ"&amp;MATCH($D6,planning_general!V$4:V$104,0)+4-1),"")</f>
        <v/>
      </c>
      <c r="AF6" s="30" t="str">
        <f ca="1">IF(COUNTIF(planning_general!W$4:W$104,$D6),INDIRECT("'planning_general'!BA"&amp;MATCH($D6,planning_general!W$4:W$104,0)+4-1),"")</f>
        <v/>
      </c>
      <c r="AG6" s="30" t="str">
        <f ca="1">IF(COUNTIF(planning_general!X$4:X$104,$D6),INDIRECT("'planning_general'!BB"&amp;MATCH($D6,planning_general!X$4:X$104,0)+4-1),"")</f>
        <v/>
      </c>
      <c r="AH6" s="30" t="str">
        <f ca="1">IF(COUNTIF(planning_general!Y$4:Y$104,$D6),INDIRECT("'planning_general'!BC"&amp;MATCH($D6,planning_general!Y$4:Y$104,0)+4-1),"")</f>
        <v/>
      </c>
      <c r="AI6" s="30" t="str">
        <f ca="1">IF(COUNTIF(planning_general!Z$4:Z$104,$D6),INDIRECT("'planning_general'!BD"&amp;MATCH($D6,planning_general!Z$4:Z$104,0)+4-1),"")</f>
        <v/>
      </c>
      <c r="AJ6" s="30" t="str">
        <f ca="1">IF(COUNTIF(planning_general!AA$4:AA$104,$D6),INDIRECT("'planning_general'!BE"&amp;MATCH($D6,planning_general!AA$4:AA$104,0)+4-1),"")</f>
        <v/>
      </c>
      <c r="AK6" s="30" t="str">
        <f ca="1">IF(COUNTIF(planning_general!AB$4:AB$104,$D6),INDIRECT("'planning_general'!BF"&amp;MATCH($D6,planning_general!AB$4:AB$104,0)+4-1),"")</f>
        <v/>
      </c>
      <c r="AL6" s="30" t="str">
        <f ca="1">IF(COUNTIF(planning_general!AC$4:AC$104,$D6),INDIRECT("'planning_general'!BG"&amp;MATCH($D6,planning_general!AC$4:AC$104,0)+4-1),"")</f>
        <v/>
      </c>
      <c r="AM6" s="30" t="str">
        <f ca="1">IF(COUNTIF(planning_general!AD$4:AD$104,$D6),INDIRECT("'planning_general'!BH"&amp;MATCH($D6,planning_general!AD$4:AD$104,0)+4-1),"")</f>
        <v/>
      </c>
      <c r="AN6" s="30" t="str">
        <f ca="1">IF(COUNTIF(planning_general!AE$4:AE$104,$D6),INDIRECT("'planning_general'!BI"&amp;MATCH($D6,planning_general!AE$4:AE$104,0)+4-1),"")</f>
        <v/>
      </c>
    </row>
    <row r="7" spans="1:40" ht="34.950000000000003" customHeight="1" x14ac:dyDescent="0.35">
      <c r="A7" s="35">
        <f>beneficiaires!$A6</f>
        <v>5</v>
      </c>
      <c r="B7" s="28" t="str">
        <f>beneficiaires!B6</f>
        <v>Bigler</v>
      </c>
      <c r="C7" s="28" t="str">
        <f>beneficiaires!C6</f>
        <v>Dominique</v>
      </c>
      <c r="D7" s="29" t="str">
        <f>beneficiaires!D6</f>
        <v>Dominique_Bigler</v>
      </c>
      <c r="E7" s="29" t="str">
        <f>beneficiaires!E6</f>
        <v>Bigler_Dominique</v>
      </c>
      <c r="F7" s="26" t="str">
        <f t="shared" si="0"/>
        <v/>
      </c>
      <c r="G7" s="26" t="str">
        <f t="shared" si="0"/>
        <v/>
      </c>
      <c r="H7" s="26">
        <f t="shared" si="0"/>
        <v>1</v>
      </c>
      <c r="I7" s="26" t="str">
        <f t="shared" si="0"/>
        <v/>
      </c>
      <c r="J7" s="26" t="str">
        <f t="shared" si="0"/>
        <v/>
      </c>
      <c r="K7" s="26" t="str">
        <f t="shared" si="0"/>
        <v/>
      </c>
      <c r="L7" s="26">
        <f>beneficiaires!J6</f>
        <v>20</v>
      </c>
      <c r="M7" s="30" t="str">
        <f ca="1">IF(COUNTIF(planning_general!D$4:D$104,$D7),INDIRECT("'planning_general'!AH"&amp;MATCH($D7,planning_general!D$4:D$104,0)+4-1),"")</f>
        <v/>
      </c>
      <c r="N7" s="30" t="str">
        <f ca="1">IF(COUNTIF(planning_general!E$4:E$104,$D7),INDIRECT("'planning_general'!AI"&amp;MATCH($D7,planning_general!E$4:E$104,0)+4-1),"")</f>
        <v/>
      </c>
      <c r="O7" s="30" t="str">
        <f ca="1">IF(COUNTIF(planning_general!F$4:F$104,$D7),INDIRECT("'planning_general'!AJ"&amp;MATCH($D7,planning_general!F$4:F$104,0)+4-1),"")</f>
        <v/>
      </c>
      <c r="P7" s="30" t="str">
        <f ca="1">IF(COUNTIF(planning_general!G$4:G$104,$D7),INDIRECT("'planning_general'!AK"&amp;MATCH($D7,planning_general!G$4:G$104,0)+4-1),"")</f>
        <v/>
      </c>
      <c r="Q7" s="30" t="str">
        <f ca="1">IF(COUNTIF(planning_general!H$4:H$104,$D7),INDIRECT("'planning_general'!AL"&amp;MATCH($D7,planning_general!H$4:H$104,0)+4-1),"")</f>
        <v/>
      </c>
      <c r="R7" s="30" t="str">
        <f ca="1">IF(COUNTIF(planning_general!I$4:I$104,$D7),INDIRECT("'planning_general'!AM"&amp;MATCH($D7,planning_general!I$4:I$104,0)+4-1),"")</f>
        <v/>
      </c>
      <c r="S7" s="30" t="str">
        <f ca="1">IF(COUNTIF(planning_general!J$4:J$104,$D7),INDIRECT("'planning_general'!AN"&amp;MATCH($D7,planning_general!J$4:J$104,0)+4-1),"")</f>
        <v/>
      </c>
      <c r="T7" s="30" t="str">
        <f ca="1">IF(COUNTIF(planning_general!K$4:K$104,$D7),INDIRECT("'planning_general'!AO"&amp;MATCH($D7,planning_general!K$4:K$104,0)+4-1),"")</f>
        <v/>
      </c>
      <c r="U7" s="30" t="str">
        <f ca="1">IF(COUNTIF(planning_general!L$4:L$104,$D7),INDIRECT("'planning_general'!AP"&amp;MATCH($D7,planning_general!L$4:L$104,0)+4-1),"")</f>
        <v>Cuisine</v>
      </c>
      <c r="V7" s="30" t="str">
        <f ca="1">IF(COUNTIF(planning_general!M$4:M$104,$D7),INDIRECT("'planning_general'!AQ"&amp;MATCH($D7,planning_general!M$4:M$104,0)+4-1),"")</f>
        <v/>
      </c>
      <c r="W7" s="30" t="str">
        <f ca="1">IF(COUNTIF(planning_general!N$4:N$104,$D7),INDIRECT("'planning_general'!AR"&amp;MATCH($D7,planning_general!N$4:N$104,0)+4-1),"")</f>
        <v>Cuisine</v>
      </c>
      <c r="X7" s="30" t="str">
        <f ca="1">IF(COUNTIF(planning_general!O$4:O$104,$D7),INDIRECT("'planning_general'!AS"&amp;MATCH($D7,planning_general!O$4:O$104,0)+4-1),"")</f>
        <v/>
      </c>
      <c r="Y7" s="30" t="str">
        <f ca="1">IF(COUNTIF(planning_general!P$4:P$104,$D7),INDIRECT("'planning_general'!AT"&amp;MATCH($D7,planning_general!P$4:P$104,0)+4-1),"")</f>
        <v/>
      </c>
      <c r="Z7" s="30" t="str">
        <f ca="1">IF(COUNTIF(planning_general!Q$4:Q$104,$D7),INDIRECT("'planning_general'!AU"&amp;MATCH($D7,planning_general!Q$4:Q$104,0)+4-1),"")</f>
        <v/>
      </c>
      <c r="AA7" s="30" t="str">
        <f ca="1">IF(COUNTIF(planning_general!R$4:R$104,$D7),INDIRECT("'planning_general'!AV"&amp;MATCH($D7,planning_general!R$4:R$104,0)+4-1),"")</f>
        <v/>
      </c>
      <c r="AB7" s="30" t="str">
        <f ca="1">IF(COUNTIF(planning_general!S$4:S$104,$D7),INDIRECT("'planning_general'!AW"&amp;MATCH($D7,planning_general!S$4:S$104,0)+4-1),"")</f>
        <v/>
      </c>
      <c r="AC7" s="30" t="str">
        <f ca="1">IF(COUNTIF(planning_general!T$4:T$104,$D7),INDIRECT("'planning_general'!AX"&amp;MATCH($D7,planning_general!T$4:T$104,0)+4-1),"")</f>
        <v/>
      </c>
      <c r="AD7" s="30" t="str">
        <f ca="1">IF(COUNTIF(planning_general!U$4:U$104,$D7),INDIRECT("'planning_general'!AY"&amp;MATCH($D7,planning_general!U$4:U$104,0)+4-1),"")</f>
        <v/>
      </c>
      <c r="AE7" s="30" t="str">
        <f ca="1">IF(COUNTIF(planning_general!V$4:V$104,$D7),INDIRECT("'planning_general'!AZ"&amp;MATCH($D7,planning_general!V$4:V$104,0)+4-1),"")</f>
        <v/>
      </c>
      <c r="AF7" s="30" t="str">
        <f ca="1">IF(COUNTIF(planning_general!W$4:W$104,$D7),INDIRECT("'planning_general'!BA"&amp;MATCH($D7,planning_general!W$4:W$104,0)+4-1),"")</f>
        <v/>
      </c>
      <c r="AG7" s="30" t="str">
        <f ca="1">IF(COUNTIF(planning_general!X$4:X$104,$D7),INDIRECT("'planning_general'!BB"&amp;MATCH($D7,planning_general!X$4:X$104,0)+4-1),"")</f>
        <v/>
      </c>
      <c r="AH7" s="30" t="str">
        <f ca="1">IF(COUNTIF(planning_general!Y$4:Y$104,$D7),INDIRECT("'planning_general'!BC"&amp;MATCH($D7,planning_general!Y$4:Y$104,0)+4-1),"")</f>
        <v/>
      </c>
      <c r="AI7" s="30" t="str">
        <f ca="1">IF(COUNTIF(planning_general!Z$4:Z$104,$D7),INDIRECT("'planning_general'!BD"&amp;MATCH($D7,planning_general!Z$4:Z$104,0)+4-1),"")</f>
        <v/>
      </c>
      <c r="AJ7" s="30" t="str">
        <f ca="1">IF(COUNTIF(planning_general!AA$4:AA$104,$D7),INDIRECT("'planning_general'!BE"&amp;MATCH($D7,planning_general!AA$4:AA$104,0)+4-1),"")</f>
        <v/>
      </c>
      <c r="AK7" s="30" t="str">
        <f ca="1">IF(COUNTIF(planning_general!AB$4:AB$104,$D7),INDIRECT("'planning_general'!BF"&amp;MATCH($D7,planning_general!AB$4:AB$104,0)+4-1),"")</f>
        <v/>
      </c>
      <c r="AL7" s="30" t="str">
        <f ca="1">IF(COUNTIF(planning_general!AC$4:AC$104,$D7),INDIRECT("'planning_general'!BG"&amp;MATCH($D7,planning_general!AC$4:AC$104,0)+4-1),"")</f>
        <v/>
      </c>
      <c r="AM7" s="30" t="str">
        <f ca="1">IF(COUNTIF(planning_general!AD$4:AD$104,$D7),INDIRECT("'planning_general'!BH"&amp;MATCH($D7,planning_general!AD$4:AD$104,0)+4-1),"")</f>
        <v/>
      </c>
      <c r="AN7" s="30" t="str">
        <f ca="1">IF(COUNTIF(planning_general!AE$4:AE$104,$D7),INDIRECT("'planning_general'!BI"&amp;MATCH($D7,planning_general!AE$4:AE$104,0)+4-1),"")</f>
        <v/>
      </c>
    </row>
    <row r="8" spans="1:40" ht="34.950000000000003" customHeight="1" x14ac:dyDescent="0.35">
      <c r="A8" s="35">
        <f>beneficiaires!$A7</f>
        <v>6</v>
      </c>
      <c r="B8" s="28" t="str">
        <f>beneficiaires!B7</f>
        <v>Buschlen</v>
      </c>
      <c r="C8" s="28" t="str">
        <f>beneficiaires!C7</f>
        <v>Mélanie</v>
      </c>
      <c r="D8" s="29" t="str">
        <f>beneficiaires!D7</f>
        <v>Mélanie_Buschlen</v>
      </c>
      <c r="E8" s="29" t="str">
        <f>beneficiaires!E7</f>
        <v>Buschlen_Mélanie</v>
      </c>
      <c r="F8" s="26">
        <f t="shared" si="0"/>
        <v>1</v>
      </c>
      <c r="G8" s="26" t="str">
        <f t="shared" si="0"/>
        <v/>
      </c>
      <c r="H8" s="26" t="str">
        <f t="shared" si="0"/>
        <v/>
      </c>
      <c r="I8" s="26" t="str">
        <f t="shared" si="0"/>
        <v/>
      </c>
      <c r="J8" s="26" t="str">
        <f t="shared" si="0"/>
        <v/>
      </c>
      <c r="K8" s="26" t="str">
        <f t="shared" si="0"/>
        <v/>
      </c>
      <c r="L8" s="26">
        <f>beneficiaires!J7</f>
        <v>60</v>
      </c>
      <c r="M8" s="30" t="str">
        <f ca="1">IF(COUNTIF(planning_general!D$4:D$104,$D8),INDIRECT("'planning_general'!AH"&amp;MATCH($D8,planning_general!D$4:D$104,0)+4-1),"")</f>
        <v>Production</v>
      </c>
      <c r="N8" s="30" t="str">
        <f ca="1">IF(COUNTIF(planning_general!E$4:E$104,$D8),INDIRECT("'planning_general'!AI"&amp;MATCH($D8,planning_general!E$4:E$104,0)+4-1),"")</f>
        <v/>
      </c>
      <c r="O8" s="30" t="str">
        <f ca="1">IF(COUNTIF(planning_general!F$4:F$104,$D8),INDIRECT("'planning_general'!AJ"&amp;MATCH($D8,planning_general!F$4:F$104,0)+4-1),"")</f>
        <v>Production</v>
      </c>
      <c r="P8" s="30" t="str">
        <f ca="1">IF(COUNTIF(planning_general!G$4:G$104,$D8),INDIRECT("'planning_general'!AK"&amp;MATCH($D8,planning_general!G$4:G$104,0)+4-1),"")</f>
        <v/>
      </c>
      <c r="Q8" s="30" t="str">
        <f ca="1">IF(COUNTIF(planning_general!H$4:H$104,$D8),INDIRECT("'planning_general'!AL"&amp;MATCH($D8,planning_general!H$4:H$104,0)+4-1),"")</f>
        <v/>
      </c>
      <c r="R8" s="30" t="str">
        <f ca="1">IF(COUNTIF(planning_general!I$4:I$104,$D8),INDIRECT("'planning_general'!AM"&amp;MATCH($D8,planning_general!I$4:I$104,0)+4-1),"")</f>
        <v/>
      </c>
      <c r="S8" s="30" t="str">
        <f ca="1">IF(COUNTIF(planning_general!J$4:J$104,$D8),INDIRECT("'planning_general'!AN"&amp;MATCH($D8,planning_general!J$4:J$104,0)+4-1),"")</f>
        <v>Production</v>
      </c>
      <c r="T8" s="30" t="str">
        <f ca="1">IF(COUNTIF(planning_general!K$4:K$104,$D8),INDIRECT("'planning_general'!AO"&amp;MATCH($D8,planning_general!K$4:K$104,0)+4-1),"")</f>
        <v/>
      </c>
      <c r="U8" s="30" t="str">
        <f ca="1">IF(COUNTIF(planning_general!L$4:L$104,$D8),INDIRECT("'planning_general'!AP"&amp;MATCH($D8,planning_general!L$4:L$104,0)+4-1),"")</f>
        <v>Production</v>
      </c>
      <c r="V8" s="30" t="str">
        <f ca="1">IF(COUNTIF(planning_general!M$4:M$104,$D8),INDIRECT("'planning_general'!AQ"&amp;MATCH($D8,planning_general!M$4:M$104,0)+4-1),"")</f>
        <v/>
      </c>
      <c r="W8" s="30" t="str">
        <f ca="1">IF(COUNTIF(planning_general!N$4:N$104,$D8),INDIRECT("'planning_general'!AR"&amp;MATCH($D8,planning_general!N$4:N$104,0)+4-1),"")</f>
        <v/>
      </c>
      <c r="X8" s="30" t="str">
        <f ca="1">IF(COUNTIF(planning_general!O$4:O$104,$D8),INDIRECT("'planning_general'!AS"&amp;MATCH($D8,planning_general!O$4:O$104,0)+4-1),"")</f>
        <v/>
      </c>
      <c r="Y8" s="30" t="str">
        <f ca="1">IF(COUNTIF(planning_general!P$4:P$104,$D8),INDIRECT("'planning_general'!AT"&amp;MATCH($D8,planning_general!P$4:P$104,0)+4-1),"")</f>
        <v/>
      </c>
      <c r="Z8" s="30" t="str">
        <f ca="1">IF(COUNTIF(planning_general!Q$4:Q$104,$D8),INDIRECT("'planning_general'!AU"&amp;MATCH($D8,planning_general!Q$4:Q$104,0)+4-1),"")</f>
        <v/>
      </c>
      <c r="AA8" s="30" t="str">
        <f ca="1">IF(COUNTIF(planning_general!R$4:R$104,$D8),INDIRECT("'planning_general'!AV"&amp;MATCH($D8,planning_general!R$4:R$104,0)+4-1),"")</f>
        <v>Production</v>
      </c>
      <c r="AB8" s="30" t="str">
        <f ca="1">IF(COUNTIF(planning_general!S$4:S$104,$D8),INDIRECT("'planning_general'!AW"&amp;MATCH($D8,planning_general!S$4:S$104,0)+4-1),"")</f>
        <v/>
      </c>
      <c r="AC8" s="30" t="str">
        <f ca="1">IF(COUNTIF(planning_general!T$4:T$104,$D8),INDIRECT("'planning_general'!AX"&amp;MATCH($D8,planning_general!T$4:T$104,0)+4-1),"")</f>
        <v>Production</v>
      </c>
      <c r="AD8" s="30" t="str">
        <f ca="1">IF(COUNTIF(planning_general!U$4:U$104,$D8),INDIRECT("'planning_general'!AY"&amp;MATCH($D8,planning_general!U$4:U$104,0)+4-1),"")</f>
        <v/>
      </c>
      <c r="AE8" s="30" t="str">
        <f ca="1">IF(COUNTIF(planning_general!V$4:V$104,$D8),INDIRECT("'planning_general'!AZ"&amp;MATCH($D8,planning_general!V$4:V$104,0)+4-1),"")</f>
        <v/>
      </c>
      <c r="AF8" s="30" t="str">
        <f ca="1">IF(COUNTIF(planning_general!W$4:W$104,$D8),INDIRECT("'planning_general'!BA"&amp;MATCH($D8,planning_general!W$4:W$104,0)+4-1),"")</f>
        <v/>
      </c>
      <c r="AG8" s="30" t="str">
        <f ca="1">IF(COUNTIF(planning_general!X$4:X$104,$D8),INDIRECT("'planning_general'!BB"&amp;MATCH($D8,planning_general!X$4:X$104,0)+4-1),"")</f>
        <v/>
      </c>
      <c r="AH8" s="30" t="str">
        <f ca="1">IF(COUNTIF(planning_general!Y$4:Y$104,$D8),INDIRECT("'planning_general'!BC"&amp;MATCH($D8,planning_general!Y$4:Y$104,0)+4-1),"")</f>
        <v/>
      </c>
      <c r="AI8" s="30" t="str">
        <f ca="1">IF(COUNTIF(planning_general!Z$4:Z$104,$D8),INDIRECT("'planning_general'!BD"&amp;MATCH($D8,planning_general!Z$4:Z$104,0)+4-1),"")</f>
        <v/>
      </c>
      <c r="AJ8" s="30" t="str">
        <f ca="1">IF(COUNTIF(planning_general!AA$4:AA$104,$D8),INDIRECT("'planning_general'!BE"&amp;MATCH($D8,planning_general!AA$4:AA$104,0)+4-1),"")</f>
        <v/>
      </c>
      <c r="AK8" s="30" t="str">
        <f ca="1">IF(COUNTIF(planning_general!AB$4:AB$104,$D8),INDIRECT("'planning_general'!BF"&amp;MATCH($D8,planning_general!AB$4:AB$104,0)+4-1),"")</f>
        <v/>
      </c>
      <c r="AL8" s="30" t="str">
        <f ca="1">IF(COUNTIF(planning_general!AC$4:AC$104,$D8),INDIRECT("'planning_general'!BG"&amp;MATCH($D8,planning_general!AC$4:AC$104,0)+4-1),"")</f>
        <v/>
      </c>
      <c r="AM8" s="30" t="str">
        <f ca="1">IF(COUNTIF(planning_general!AD$4:AD$104,$D8),INDIRECT("'planning_general'!BH"&amp;MATCH($D8,planning_general!AD$4:AD$104,0)+4-1),"")</f>
        <v/>
      </c>
      <c r="AN8" s="30" t="str">
        <f ca="1">IF(COUNTIF(planning_general!AE$4:AE$104,$D8),INDIRECT("'planning_general'!BI"&amp;MATCH($D8,planning_general!AE$4:AE$104,0)+4-1),"")</f>
        <v/>
      </c>
    </row>
    <row r="9" spans="1:40" ht="34.950000000000003" customHeight="1" x14ac:dyDescent="0.35">
      <c r="A9" s="35">
        <f>beneficiaires!$A8</f>
        <v>7</v>
      </c>
      <c r="B9" s="28" t="str">
        <f>beneficiaires!B8</f>
        <v>Chareyrat</v>
      </c>
      <c r="C9" s="28" t="str">
        <f>beneficiaires!C8</f>
        <v>Stephanie</v>
      </c>
      <c r="D9" s="29" t="str">
        <f>beneficiaires!D8</f>
        <v>Stephanie_Chareyrat</v>
      </c>
      <c r="E9" s="29" t="str">
        <f>beneficiaires!E8</f>
        <v>Chareyrat_Stephanie</v>
      </c>
      <c r="F9" s="26" t="str">
        <f t="shared" si="0"/>
        <v/>
      </c>
      <c r="G9" s="26">
        <f t="shared" si="0"/>
        <v>1</v>
      </c>
      <c r="H9" s="26" t="str">
        <f t="shared" si="0"/>
        <v/>
      </c>
      <c r="I9" s="26" t="str">
        <f t="shared" si="0"/>
        <v/>
      </c>
      <c r="J9" s="26" t="str">
        <f t="shared" si="0"/>
        <v/>
      </c>
      <c r="K9" s="26" t="str">
        <f t="shared" si="0"/>
        <v/>
      </c>
      <c r="L9" s="26">
        <f>beneficiaires!J8</f>
        <v>10</v>
      </c>
      <c r="M9" s="30" t="str">
        <f ca="1">IF(COUNTIF(planning_general!D$4:D$104,$D9),INDIRECT("'planning_general'!AH"&amp;MATCH($D9,planning_general!D$4:D$104,0)+4-1),"")</f>
        <v/>
      </c>
      <c r="N9" s="30" t="str">
        <f ca="1">IF(COUNTIF(planning_general!E$4:E$104,$D9),INDIRECT("'planning_general'!AI"&amp;MATCH($D9,planning_general!E$4:E$104,0)+4-1),"")</f>
        <v/>
      </c>
      <c r="O9" s="30" t="str">
        <f ca="1">IF(COUNTIF(planning_general!F$4:F$104,$D9),INDIRECT("'planning_general'!AJ"&amp;MATCH($D9,planning_general!F$4:F$104,0)+4-1),"")</f>
        <v/>
      </c>
      <c r="P9" s="30" t="str">
        <f ca="1">IF(COUNTIF(planning_general!G$4:G$104,$D9),INDIRECT("'planning_general'!AK"&amp;MATCH($D9,planning_general!G$4:G$104,0)+4-1),"")</f>
        <v/>
      </c>
      <c r="Q9" s="30" t="str">
        <f ca="1">IF(COUNTIF(planning_general!H$4:H$104,$D9),INDIRECT("'planning_general'!AL"&amp;MATCH($D9,planning_general!H$4:H$104,0)+4-1),"")</f>
        <v/>
      </c>
      <c r="R9" s="30" t="str">
        <f ca="1">IF(COUNTIF(planning_general!I$4:I$104,$D9),INDIRECT("'planning_general'!AM"&amp;MATCH($D9,planning_general!I$4:I$104,0)+4-1),"")</f>
        <v/>
      </c>
      <c r="S9" s="30" t="str">
        <f ca="1">IF(COUNTIF(planning_general!J$4:J$104,$D9),INDIRECT("'planning_general'!AN"&amp;MATCH($D9,planning_general!J$4:J$104,0)+4-1),"")</f>
        <v/>
      </c>
      <c r="T9" s="30" t="str">
        <f ca="1">IF(COUNTIF(planning_general!K$4:K$104,$D9),INDIRECT("'planning_general'!AO"&amp;MATCH($D9,planning_general!K$4:K$104,0)+4-1),"")</f>
        <v/>
      </c>
      <c r="U9" s="30" t="str">
        <f ca="1">IF(COUNTIF(planning_general!L$4:L$104,$D9),INDIRECT("'planning_general'!AP"&amp;MATCH($D9,planning_general!L$4:L$104,0)+4-1),"")</f>
        <v/>
      </c>
      <c r="V9" s="30" t="str">
        <f ca="1">IF(COUNTIF(planning_general!M$4:M$104,$D9),INDIRECT("'planning_general'!AQ"&amp;MATCH($D9,planning_general!M$4:M$104,0)+4-1),"")</f>
        <v/>
      </c>
      <c r="W9" s="30" t="str">
        <f ca="1">IF(COUNTIF(planning_general!N$4:N$104,$D9),INDIRECT("'planning_general'!AR"&amp;MATCH($D9,planning_general!N$4:N$104,0)+4-1),"")</f>
        <v/>
      </c>
      <c r="X9" s="30" t="str">
        <f ca="1">IF(COUNTIF(planning_general!O$4:O$104,$D9),INDIRECT("'planning_general'!AS"&amp;MATCH($D9,planning_general!O$4:O$104,0)+4-1),"")</f>
        <v/>
      </c>
      <c r="Y9" s="30" t="str">
        <f ca="1">IF(COUNTIF(planning_general!P$4:P$104,$D9),INDIRECT("'planning_general'!AT"&amp;MATCH($D9,planning_general!P$4:P$104,0)+4-1),"")</f>
        <v/>
      </c>
      <c r="Z9" s="30" t="str">
        <f ca="1">IF(COUNTIF(planning_general!Q$4:Q$104,$D9),INDIRECT("'planning_general'!AU"&amp;MATCH($D9,planning_general!Q$4:Q$104,0)+4-1),"")</f>
        <v/>
      </c>
      <c r="AA9" s="30" t="str">
        <f ca="1">IF(COUNTIF(planning_general!R$4:R$104,$D9),INDIRECT("'planning_general'!AV"&amp;MATCH($D9,planning_general!R$4:R$104,0)+4-1),"")</f>
        <v>Animation</v>
      </c>
      <c r="AB9" s="30" t="str">
        <f ca="1">IF(COUNTIF(planning_general!S$4:S$104,$D9),INDIRECT("'planning_general'!AW"&amp;MATCH($D9,planning_general!S$4:S$104,0)+4-1),"")</f>
        <v/>
      </c>
      <c r="AC9" s="30" t="str">
        <f ca="1">IF(COUNTIF(planning_general!T$4:T$104,$D9),INDIRECT("'planning_general'!AX"&amp;MATCH($D9,planning_general!T$4:T$104,0)+4-1),"")</f>
        <v/>
      </c>
      <c r="AD9" s="30" t="str">
        <f ca="1">IF(COUNTIF(planning_general!U$4:U$104,$D9),INDIRECT("'planning_general'!AY"&amp;MATCH($D9,planning_general!U$4:U$104,0)+4-1),"")</f>
        <v/>
      </c>
      <c r="AE9" s="30" t="str">
        <f ca="1">IF(COUNTIF(planning_general!V$4:V$104,$D9),INDIRECT("'planning_general'!AZ"&amp;MATCH($D9,planning_general!V$4:V$104,0)+4-1),"")</f>
        <v/>
      </c>
      <c r="AF9" s="30" t="str">
        <f ca="1">IF(COUNTIF(planning_general!W$4:W$104,$D9),INDIRECT("'planning_general'!BA"&amp;MATCH($D9,planning_general!W$4:W$104,0)+4-1),"")</f>
        <v/>
      </c>
      <c r="AG9" s="30" t="str">
        <f ca="1">IF(COUNTIF(planning_general!X$4:X$104,$D9),INDIRECT("'planning_general'!BB"&amp;MATCH($D9,planning_general!X$4:X$104,0)+4-1),"")</f>
        <v/>
      </c>
      <c r="AH9" s="30" t="str">
        <f ca="1">IF(COUNTIF(planning_general!Y$4:Y$104,$D9),INDIRECT("'planning_general'!BC"&amp;MATCH($D9,planning_general!Y$4:Y$104,0)+4-1),"")</f>
        <v/>
      </c>
      <c r="AI9" s="30" t="str">
        <f ca="1">IF(COUNTIF(planning_general!Z$4:Z$104,$D9),INDIRECT("'planning_general'!BD"&amp;MATCH($D9,planning_general!Z$4:Z$104,0)+4-1),"")</f>
        <v/>
      </c>
      <c r="AJ9" s="30" t="str">
        <f ca="1">IF(COUNTIF(planning_general!AA$4:AA$104,$D9),INDIRECT("'planning_general'!BE"&amp;MATCH($D9,planning_general!AA$4:AA$104,0)+4-1),"")</f>
        <v/>
      </c>
      <c r="AK9" s="30" t="str">
        <f ca="1">IF(COUNTIF(planning_general!AB$4:AB$104,$D9),INDIRECT("'planning_general'!BF"&amp;MATCH($D9,planning_general!AB$4:AB$104,0)+4-1),"")</f>
        <v/>
      </c>
      <c r="AL9" s="30" t="str">
        <f ca="1">IF(COUNTIF(planning_general!AC$4:AC$104,$D9),INDIRECT("'planning_general'!BG"&amp;MATCH($D9,planning_general!AC$4:AC$104,0)+4-1),"")</f>
        <v/>
      </c>
      <c r="AM9" s="30" t="str">
        <f ca="1">IF(COUNTIF(planning_general!AD$4:AD$104,$D9),INDIRECT("'planning_general'!BH"&amp;MATCH($D9,planning_general!AD$4:AD$104,0)+4-1),"")</f>
        <v/>
      </c>
      <c r="AN9" s="30" t="str">
        <f ca="1">IF(COUNTIF(planning_general!AE$4:AE$104,$D9),INDIRECT("'planning_general'!BI"&amp;MATCH($D9,planning_general!AE$4:AE$104,0)+4-1),"")</f>
        <v/>
      </c>
    </row>
    <row r="10" spans="1:40" ht="34.950000000000003" customHeight="1" x14ac:dyDescent="0.35">
      <c r="A10" s="35">
        <f>beneficiaires!$A9</f>
        <v>8</v>
      </c>
      <c r="B10" s="28" t="str">
        <f>beneficiaires!B9</f>
        <v>Coulon</v>
      </c>
      <c r="C10" s="28" t="str">
        <f>beneficiaires!C9</f>
        <v>Olivia</v>
      </c>
      <c r="D10" s="29" t="str">
        <f>beneficiaires!D9</f>
        <v>Olivia_Coulon</v>
      </c>
      <c r="E10" s="29" t="str">
        <f>beneficiaires!E9</f>
        <v>Coulon_Olivia</v>
      </c>
      <c r="F10" s="26">
        <f t="shared" si="0"/>
        <v>1</v>
      </c>
      <c r="G10" s="26" t="str">
        <f t="shared" si="0"/>
        <v/>
      </c>
      <c r="H10" s="26" t="str">
        <f t="shared" si="0"/>
        <v/>
      </c>
      <c r="I10" s="26" t="str">
        <f t="shared" si="0"/>
        <v/>
      </c>
      <c r="J10" s="26" t="str">
        <f t="shared" si="0"/>
        <v/>
      </c>
      <c r="K10" s="26" t="str">
        <f t="shared" si="0"/>
        <v/>
      </c>
      <c r="L10" s="26">
        <f>beneficiaires!J9</f>
        <v>40</v>
      </c>
      <c r="M10" s="30" t="str">
        <f ca="1">IF(COUNTIF(planning_general!D$4:D$104,$D10),INDIRECT("'planning_general'!AH"&amp;MATCH($D10,planning_general!D$4:D$104,0)+4-1),"")</f>
        <v/>
      </c>
      <c r="N10" s="30" t="str">
        <f ca="1">IF(COUNTIF(planning_general!E$4:E$104,$D10),INDIRECT("'planning_general'!AI"&amp;MATCH($D10,planning_general!E$4:E$104,0)+4-1),"")</f>
        <v/>
      </c>
      <c r="O10" s="30" t="str">
        <f ca="1">IF(COUNTIF(planning_general!F$4:F$104,$D10),INDIRECT("'planning_general'!AJ"&amp;MATCH($D10,planning_general!F$4:F$104,0)+4-1),"")</f>
        <v/>
      </c>
      <c r="P10" s="30" t="str">
        <f ca="1">IF(COUNTIF(planning_general!G$4:G$104,$D10),INDIRECT("'planning_general'!AK"&amp;MATCH($D10,planning_general!G$4:G$104,0)+4-1),"")</f>
        <v/>
      </c>
      <c r="Q10" s="30" t="str">
        <f ca="1">IF(COUNTIF(planning_general!H$4:H$104,$D10),INDIRECT("'planning_general'!AL"&amp;MATCH($D10,planning_general!H$4:H$104,0)+4-1),"")</f>
        <v>Production</v>
      </c>
      <c r="R10" s="30" t="str">
        <f ca="1">IF(COUNTIF(planning_general!I$4:I$104,$D10),INDIRECT("'planning_general'!AM"&amp;MATCH($D10,planning_general!I$4:I$104,0)+4-1),"")</f>
        <v/>
      </c>
      <c r="S10" s="30" t="str">
        <f ca="1">IF(COUNTIF(planning_general!J$4:J$104,$D10),INDIRECT("'planning_general'!AN"&amp;MATCH($D10,planning_general!J$4:J$104,0)+4-1),"")</f>
        <v>Production</v>
      </c>
      <c r="T10" s="30" t="str">
        <f ca="1">IF(COUNTIF(planning_general!K$4:K$104,$D10),INDIRECT("'planning_general'!AO"&amp;MATCH($D10,planning_general!K$4:K$104,0)+4-1),"")</f>
        <v/>
      </c>
      <c r="U10" s="30" t="str">
        <f ca="1">IF(COUNTIF(planning_general!L$4:L$104,$D10),INDIRECT("'planning_general'!AP"&amp;MATCH($D10,planning_general!L$4:L$104,0)+4-1),"")</f>
        <v/>
      </c>
      <c r="V10" s="30" t="str">
        <f ca="1">IF(COUNTIF(planning_general!M$4:M$104,$D10),INDIRECT("'planning_general'!AQ"&amp;MATCH($D10,planning_general!M$4:M$104,0)+4-1),"")</f>
        <v/>
      </c>
      <c r="W10" s="30" t="str">
        <f ca="1">IF(COUNTIF(planning_general!N$4:N$104,$D10),INDIRECT("'planning_general'!AR"&amp;MATCH($D10,planning_general!N$4:N$104,0)+4-1),"")</f>
        <v/>
      </c>
      <c r="X10" s="30" t="str">
        <f ca="1">IF(COUNTIF(planning_general!O$4:O$104,$D10),INDIRECT("'planning_general'!AS"&amp;MATCH($D10,planning_general!O$4:O$104,0)+4-1),"")</f>
        <v/>
      </c>
      <c r="Y10" s="30" t="str">
        <f ca="1">IF(COUNTIF(planning_general!P$4:P$104,$D10),INDIRECT("'planning_general'!AT"&amp;MATCH($D10,planning_general!P$4:P$104,0)+4-1),"")</f>
        <v>Production</v>
      </c>
      <c r="Z10" s="30" t="str">
        <f ca="1">IF(COUNTIF(planning_general!Q$4:Q$104,$D10),INDIRECT("'planning_general'!AU"&amp;MATCH($D10,planning_general!Q$4:Q$104,0)+4-1),"")</f>
        <v/>
      </c>
      <c r="AA10" s="30" t="str">
        <f ca="1">IF(COUNTIF(planning_general!R$4:R$104,$D10),INDIRECT("'planning_general'!AV"&amp;MATCH($D10,planning_general!R$4:R$104,0)+4-1),"")</f>
        <v/>
      </c>
      <c r="AB10" s="30" t="str">
        <f ca="1">IF(COUNTIF(planning_general!S$4:S$104,$D10),INDIRECT("'planning_general'!AW"&amp;MATCH($D10,planning_general!S$4:S$104,0)+4-1),"")</f>
        <v/>
      </c>
      <c r="AC10" s="30" t="str">
        <f ca="1">IF(COUNTIF(planning_general!T$4:T$104,$D10),INDIRECT("'planning_general'!AX"&amp;MATCH($D10,planning_general!T$4:T$104,0)+4-1),"")</f>
        <v>Production</v>
      </c>
      <c r="AD10" s="30" t="str">
        <f ca="1">IF(COUNTIF(planning_general!U$4:U$104,$D10),INDIRECT("'planning_general'!AY"&amp;MATCH($D10,planning_general!U$4:U$104,0)+4-1),"")</f>
        <v/>
      </c>
      <c r="AE10" s="30" t="str">
        <f ca="1">IF(COUNTIF(planning_general!V$4:V$104,$D10),INDIRECT("'planning_general'!AZ"&amp;MATCH($D10,planning_general!V$4:V$104,0)+4-1),"")</f>
        <v/>
      </c>
      <c r="AF10" s="30" t="str">
        <f ca="1">IF(COUNTIF(planning_general!W$4:W$104,$D10),INDIRECT("'planning_general'!BA"&amp;MATCH($D10,planning_general!W$4:W$104,0)+4-1),"")</f>
        <v/>
      </c>
      <c r="AG10" s="30" t="str">
        <f ca="1">IF(COUNTIF(planning_general!X$4:X$104,$D10),INDIRECT("'planning_general'!BB"&amp;MATCH($D10,planning_general!X$4:X$104,0)+4-1),"")</f>
        <v/>
      </c>
      <c r="AH10" s="30" t="str">
        <f ca="1">IF(COUNTIF(planning_general!Y$4:Y$104,$D10),INDIRECT("'planning_general'!BC"&amp;MATCH($D10,planning_general!Y$4:Y$104,0)+4-1),"")</f>
        <v/>
      </c>
      <c r="AI10" s="30" t="str">
        <f ca="1">IF(COUNTIF(planning_general!Z$4:Z$104,$D10),INDIRECT("'planning_general'!BD"&amp;MATCH($D10,planning_general!Z$4:Z$104,0)+4-1),"")</f>
        <v/>
      </c>
      <c r="AJ10" s="30" t="str">
        <f ca="1">IF(COUNTIF(planning_general!AA$4:AA$104,$D10),INDIRECT("'planning_general'!BE"&amp;MATCH($D10,planning_general!AA$4:AA$104,0)+4-1),"")</f>
        <v/>
      </c>
      <c r="AK10" s="30" t="str">
        <f ca="1">IF(COUNTIF(planning_general!AB$4:AB$104,$D10),INDIRECT("'planning_general'!BF"&amp;MATCH($D10,planning_general!AB$4:AB$104,0)+4-1),"")</f>
        <v/>
      </c>
      <c r="AL10" s="30" t="str">
        <f ca="1">IF(COUNTIF(planning_general!AC$4:AC$104,$D10),INDIRECT("'planning_general'!BG"&amp;MATCH($D10,planning_general!AC$4:AC$104,0)+4-1),"")</f>
        <v/>
      </c>
      <c r="AM10" s="30" t="str">
        <f ca="1">IF(COUNTIF(planning_general!AD$4:AD$104,$D10),INDIRECT("'planning_general'!BH"&amp;MATCH($D10,planning_general!AD$4:AD$104,0)+4-1),"")</f>
        <v/>
      </c>
      <c r="AN10" s="30" t="str">
        <f ca="1">IF(COUNTIF(planning_general!AE$4:AE$104,$D10),INDIRECT("'planning_general'!BI"&amp;MATCH($D10,planning_general!AE$4:AE$104,0)+4-1),"")</f>
        <v/>
      </c>
    </row>
    <row r="11" spans="1:40" ht="34.950000000000003" customHeight="1" x14ac:dyDescent="0.35">
      <c r="A11" s="35">
        <f>beneficiaires!$A10</f>
        <v>9</v>
      </c>
      <c r="B11" s="28" t="str">
        <f>beneficiaires!B10</f>
        <v>Da Silva Ferreira</v>
      </c>
      <c r="C11" s="28" t="str">
        <f>beneficiaires!C10</f>
        <v>Carlos</v>
      </c>
      <c r="D11" s="29" t="str">
        <f>beneficiaires!D10</f>
        <v>Carlos_Da Silva Ferreira</v>
      </c>
      <c r="E11" s="29" t="str">
        <f>beneficiaires!E10</f>
        <v>Da Silva Ferreira_Carlos</v>
      </c>
      <c r="F11" s="26">
        <f t="shared" si="0"/>
        <v>1</v>
      </c>
      <c r="G11" s="26" t="str">
        <f t="shared" si="0"/>
        <v/>
      </c>
      <c r="H11" s="26" t="str">
        <f t="shared" si="0"/>
        <v/>
      </c>
      <c r="I11" s="26" t="str">
        <f t="shared" si="0"/>
        <v/>
      </c>
      <c r="J11" s="26" t="str">
        <f t="shared" si="0"/>
        <v/>
      </c>
      <c r="K11" s="26" t="str">
        <f t="shared" si="0"/>
        <v/>
      </c>
      <c r="L11" s="26">
        <f>beneficiaires!J10</f>
        <v>30</v>
      </c>
      <c r="M11" s="30" t="str">
        <f ca="1">IF(COUNTIF(planning_general!D$4:D$104,$D11),INDIRECT("'planning_general'!AH"&amp;MATCH($D11,planning_general!D$4:D$104,0)+4-1),"")</f>
        <v>Production</v>
      </c>
      <c r="N11" s="30" t="str">
        <f ca="1">IF(COUNTIF(planning_general!E$4:E$104,$D11),INDIRECT("'planning_general'!AI"&amp;MATCH($D11,planning_general!E$4:E$104,0)+4-1),"")</f>
        <v/>
      </c>
      <c r="O11" s="30" t="str">
        <f ca="1">IF(COUNTIF(planning_general!F$4:F$104,$D11),INDIRECT("'planning_general'!AJ"&amp;MATCH($D11,planning_general!F$4:F$104,0)+4-1),"")</f>
        <v/>
      </c>
      <c r="P11" s="30" t="str">
        <f ca="1">IF(COUNTIF(planning_general!G$4:G$104,$D11),INDIRECT("'planning_general'!AK"&amp;MATCH($D11,planning_general!G$4:G$104,0)+4-1),"")</f>
        <v/>
      </c>
      <c r="Q11" s="30" t="str">
        <f ca="1">IF(COUNTIF(planning_general!H$4:H$104,$D11),INDIRECT("'planning_general'!AL"&amp;MATCH($D11,planning_general!H$4:H$104,0)+4-1),"")</f>
        <v>Production</v>
      </c>
      <c r="R11" s="30" t="str">
        <f ca="1">IF(COUNTIF(planning_general!I$4:I$104,$D11),INDIRECT("'planning_general'!AM"&amp;MATCH($D11,planning_general!I$4:I$104,0)+4-1),"")</f>
        <v/>
      </c>
      <c r="S11" s="30" t="str">
        <f ca="1">IF(COUNTIF(planning_general!J$4:J$104,$D11),INDIRECT("'planning_general'!AN"&amp;MATCH($D11,planning_general!J$4:J$104,0)+4-1),"")</f>
        <v/>
      </c>
      <c r="T11" s="30" t="str">
        <f ca="1">IF(COUNTIF(planning_general!K$4:K$104,$D11),INDIRECT("'planning_general'!AO"&amp;MATCH($D11,planning_general!K$4:K$104,0)+4-1),"")</f>
        <v/>
      </c>
      <c r="U11" s="30" t="str">
        <f ca="1">IF(COUNTIF(planning_general!L$4:L$104,$D11),INDIRECT("'planning_general'!AP"&amp;MATCH($D11,planning_general!L$4:L$104,0)+4-1),"")</f>
        <v/>
      </c>
      <c r="V11" s="30" t="str">
        <f ca="1">IF(COUNTIF(planning_general!M$4:M$104,$D11),INDIRECT("'planning_general'!AQ"&amp;MATCH($D11,planning_general!M$4:M$104,0)+4-1),"")</f>
        <v/>
      </c>
      <c r="W11" s="30" t="str">
        <f ca="1">IF(COUNTIF(planning_general!N$4:N$104,$D11),INDIRECT("'planning_general'!AR"&amp;MATCH($D11,planning_general!N$4:N$104,0)+4-1),"")</f>
        <v/>
      </c>
      <c r="X11" s="30" t="str">
        <f ca="1">IF(COUNTIF(planning_general!O$4:O$104,$D11),INDIRECT("'planning_general'!AS"&amp;MATCH($D11,planning_general!O$4:O$104,0)+4-1),"")</f>
        <v/>
      </c>
      <c r="Y11" s="30" t="str">
        <f ca="1">IF(COUNTIF(planning_general!P$4:P$104,$D11),INDIRECT("'planning_general'!AT"&amp;MATCH($D11,planning_general!P$4:P$104,0)+4-1),"")</f>
        <v/>
      </c>
      <c r="Z11" s="30" t="str">
        <f ca="1">IF(COUNTIF(planning_general!Q$4:Q$104,$D11),INDIRECT("'planning_general'!AU"&amp;MATCH($D11,planning_general!Q$4:Q$104,0)+4-1),"")</f>
        <v/>
      </c>
      <c r="AA11" s="30" t="str">
        <f ca="1">IF(COUNTIF(planning_general!R$4:R$104,$D11),INDIRECT("'planning_general'!AV"&amp;MATCH($D11,planning_general!R$4:R$104,0)+4-1),"")</f>
        <v/>
      </c>
      <c r="AB11" s="30" t="str">
        <f ca="1">IF(COUNTIF(planning_general!S$4:S$104,$D11),INDIRECT("'planning_general'!AW"&amp;MATCH($D11,planning_general!S$4:S$104,0)+4-1),"")</f>
        <v/>
      </c>
      <c r="AC11" s="30" t="str">
        <f ca="1">IF(COUNTIF(planning_general!T$4:T$104,$D11),INDIRECT("'planning_general'!AX"&amp;MATCH($D11,planning_general!T$4:T$104,0)+4-1),"")</f>
        <v>Production</v>
      </c>
      <c r="AD11" s="30" t="str">
        <f ca="1">IF(COUNTIF(planning_general!U$4:U$104,$D11),INDIRECT("'planning_general'!AY"&amp;MATCH($D11,planning_general!U$4:U$104,0)+4-1),"")</f>
        <v/>
      </c>
      <c r="AE11" s="30" t="str">
        <f ca="1">IF(COUNTIF(planning_general!V$4:V$104,$D11),INDIRECT("'planning_general'!AZ"&amp;MATCH($D11,planning_general!V$4:V$104,0)+4-1),"")</f>
        <v/>
      </c>
      <c r="AF11" s="30" t="str">
        <f ca="1">IF(COUNTIF(planning_general!W$4:W$104,$D11),INDIRECT("'planning_general'!BA"&amp;MATCH($D11,planning_general!W$4:W$104,0)+4-1),"")</f>
        <v/>
      </c>
      <c r="AG11" s="30" t="str">
        <f ca="1">IF(COUNTIF(planning_general!X$4:X$104,$D11),INDIRECT("'planning_general'!BB"&amp;MATCH($D11,planning_general!X$4:X$104,0)+4-1),"")</f>
        <v/>
      </c>
      <c r="AH11" s="30" t="str">
        <f ca="1">IF(COUNTIF(planning_general!Y$4:Y$104,$D11),INDIRECT("'planning_general'!BC"&amp;MATCH($D11,planning_general!Y$4:Y$104,0)+4-1),"")</f>
        <v/>
      </c>
      <c r="AI11" s="30" t="str">
        <f ca="1">IF(COUNTIF(planning_general!Z$4:Z$104,$D11),INDIRECT("'planning_general'!BD"&amp;MATCH($D11,planning_general!Z$4:Z$104,0)+4-1),"")</f>
        <v/>
      </c>
      <c r="AJ11" s="30" t="str">
        <f ca="1">IF(COUNTIF(planning_general!AA$4:AA$104,$D11),INDIRECT("'planning_general'!BE"&amp;MATCH($D11,planning_general!AA$4:AA$104,0)+4-1),"")</f>
        <v/>
      </c>
      <c r="AK11" s="30" t="str">
        <f ca="1">IF(COUNTIF(planning_general!AB$4:AB$104,$D11),INDIRECT("'planning_general'!BF"&amp;MATCH($D11,planning_general!AB$4:AB$104,0)+4-1),"")</f>
        <v/>
      </c>
      <c r="AL11" s="30" t="str">
        <f ca="1">IF(COUNTIF(planning_general!AC$4:AC$104,$D11),INDIRECT("'planning_general'!BG"&amp;MATCH($D11,planning_general!AC$4:AC$104,0)+4-1),"")</f>
        <v/>
      </c>
      <c r="AM11" s="30" t="str">
        <f ca="1">IF(COUNTIF(planning_general!AD$4:AD$104,$D11),INDIRECT("'planning_general'!BH"&amp;MATCH($D11,planning_general!AD$4:AD$104,0)+4-1),"")</f>
        <v/>
      </c>
      <c r="AN11" s="30" t="str">
        <f ca="1">IF(COUNTIF(planning_general!AE$4:AE$104,$D11),INDIRECT("'planning_general'!BI"&amp;MATCH($D11,planning_general!AE$4:AE$104,0)+4-1),"")</f>
        <v/>
      </c>
    </row>
    <row r="12" spans="1:40" ht="34.950000000000003" customHeight="1" x14ac:dyDescent="0.35">
      <c r="A12" s="35">
        <f>beneficiaires!$A11</f>
        <v>10</v>
      </c>
      <c r="B12" s="28" t="str">
        <f>beneficiaires!B11</f>
        <v>David</v>
      </c>
      <c r="C12" s="28" t="str">
        <f>beneficiaires!C11</f>
        <v>Aline</v>
      </c>
      <c r="D12" s="29" t="str">
        <f>beneficiaires!D11</f>
        <v>Aline_David</v>
      </c>
      <c r="E12" s="29" t="str">
        <f>beneficiaires!E11</f>
        <v>David_Aline</v>
      </c>
      <c r="F12" s="26" t="str">
        <f t="shared" si="0"/>
        <v/>
      </c>
      <c r="G12" s="26">
        <f t="shared" si="0"/>
        <v>1</v>
      </c>
      <c r="H12" s="26" t="str">
        <f t="shared" si="0"/>
        <v/>
      </c>
      <c r="I12" s="26" t="str">
        <f t="shared" si="0"/>
        <v/>
      </c>
      <c r="J12" s="26" t="str">
        <f t="shared" si="0"/>
        <v/>
      </c>
      <c r="K12" s="26" t="str">
        <f t="shared" si="0"/>
        <v/>
      </c>
      <c r="L12" s="26">
        <f>beneficiaires!J11</f>
        <v>20</v>
      </c>
      <c r="M12" s="30" t="str">
        <f ca="1">IF(COUNTIF(planning_general!D$4:D$104,$D12),INDIRECT("'planning_general'!AH"&amp;MATCH($D12,planning_general!D$4:D$104,0)+4-1),"")</f>
        <v/>
      </c>
      <c r="N12" s="30" t="str">
        <f ca="1">IF(COUNTIF(planning_general!E$4:E$104,$D12),INDIRECT("'planning_general'!AI"&amp;MATCH($D12,planning_general!E$4:E$104,0)+4-1),"")</f>
        <v/>
      </c>
      <c r="O12" s="30" t="str">
        <f ca="1">IF(COUNTIF(planning_general!F$4:F$104,$D12),INDIRECT("'planning_general'!AJ"&amp;MATCH($D12,planning_general!F$4:F$104,0)+4-1),"")</f>
        <v>Réception</v>
      </c>
      <c r="P12" s="30" t="str">
        <f ca="1">IF(COUNTIF(planning_general!G$4:G$104,$D12),INDIRECT("'planning_general'!AK"&amp;MATCH($D12,planning_general!G$4:G$104,0)+4-1),"")</f>
        <v/>
      </c>
      <c r="Q12" s="30" t="str">
        <f ca="1">IF(COUNTIF(planning_general!H$4:H$104,$D12),INDIRECT("'planning_general'!AL"&amp;MATCH($D12,planning_general!H$4:H$104,0)+4-1),"")</f>
        <v/>
      </c>
      <c r="R12" s="30" t="str">
        <f ca="1">IF(COUNTIF(planning_general!I$4:I$104,$D12),INDIRECT("'planning_general'!AM"&amp;MATCH($D12,planning_general!I$4:I$104,0)+4-1),"")</f>
        <v/>
      </c>
      <c r="S12" s="30" t="str">
        <f ca="1">IF(COUNTIF(planning_general!J$4:J$104,$D12),INDIRECT("'planning_general'!AN"&amp;MATCH($D12,planning_general!J$4:J$104,0)+4-1),"")</f>
        <v/>
      </c>
      <c r="T12" s="30" t="str">
        <f ca="1">IF(COUNTIF(planning_general!K$4:K$104,$D12),INDIRECT("'planning_general'!AO"&amp;MATCH($D12,planning_general!K$4:K$104,0)+4-1),"")</f>
        <v/>
      </c>
      <c r="U12" s="30" t="str">
        <f ca="1">IF(COUNTIF(planning_general!L$4:L$104,$D12),INDIRECT("'planning_general'!AP"&amp;MATCH($D12,planning_general!L$4:L$104,0)+4-1),"")</f>
        <v/>
      </c>
      <c r="V12" s="30" t="str">
        <f ca="1">IF(COUNTIF(planning_general!M$4:M$104,$D12),INDIRECT("'planning_general'!AQ"&amp;MATCH($D12,planning_general!M$4:M$104,0)+4-1),"")</f>
        <v/>
      </c>
      <c r="W12" s="30" t="str">
        <f ca="1">IF(COUNTIF(planning_general!N$4:N$104,$D12),INDIRECT("'planning_general'!AR"&amp;MATCH($D12,planning_general!N$4:N$104,0)+4-1),"")</f>
        <v>Réception</v>
      </c>
      <c r="X12" s="30" t="str">
        <f ca="1">IF(COUNTIF(planning_general!O$4:O$104,$D12),INDIRECT("'planning_general'!AS"&amp;MATCH($D12,planning_general!O$4:O$104,0)+4-1),"")</f>
        <v/>
      </c>
      <c r="Y12" s="30" t="str">
        <f ca="1">IF(COUNTIF(planning_general!P$4:P$104,$D12),INDIRECT("'planning_general'!AT"&amp;MATCH($D12,planning_general!P$4:P$104,0)+4-1),"")</f>
        <v/>
      </c>
      <c r="Z12" s="30" t="str">
        <f ca="1">IF(COUNTIF(planning_general!Q$4:Q$104,$D12),INDIRECT("'planning_general'!AU"&amp;MATCH($D12,planning_general!Q$4:Q$104,0)+4-1),"")</f>
        <v/>
      </c>
      <c r="AA12" s="30" t="str">
        <f ca="1">IF(COUNTIF(planning_general!R$4:R$104,$D12),INDIRECT("'planning_general'!AV"&amp;MATCH($D12,planning_general!R$4:R$104,0)+4-1),"")</f>
        <v/>
      </c>
      <c r="AB12" s="30" t="str">
        <f ca="1">IF(COUNTIF(planning_general!S$4:S$104,$D12),INDIRECT("'planning_general'!AW"&amp;MATCH($D12,planning_general!S$4:S$104,0)+4-1),"")</f>
        <v/>
      </c>
      <c r="AC12" s="30" t="str">
        <f ca="1">IF(COUNTIF(planning_general!T$4:T$104,$D12),INDIRECT("'planning_general'!AX"&amp;MATCH($D12,planning_general!T$4:T$104,0)+4-1),"")</f>
        <v/>
      </c>
      <c r="AD12" s="30" t="str">
        <f ca="1">IF(COUNTIF(planning_general!U$4:U$104,$D12),INDIRECT("'planning_general'!AY"&amp;MATCH($D12,planning_general!U$4:U$104,0)+4-1),"")</f>
        <v/>
      </c>
      <c r="AE12" s="30" t="str">
        <f ca="1">IF(COUNTIF(planning_general!V$4:V$104,$D12),INDIRECT("'planning_general'!AZ"&amp;MATCH($D12,planning_general!V$4:V$104,0)+4-1),"")</f>
        <v/>
      </c>
      <c r="AF12" s="30" t="str">
        <f ca="1">IF(COUNTIF(planning_general!W$4:W$104,$D12),INDIRECT("'planning_general'!BA"&amp;MATCH($D12,planning_general!W$4:W$104,0)+4-1),"")</f>
        <v/>
      </c>
      <c r="AG12" s="30" t="str">
        <f ca="1">IF(COUNTIF(planning_general!X$4:X$104,$D12),INDIRECT("'planning_general'!BB"&amp;MATCH($D12,planning_general!X$4:X$104,0)+4-1),"")</f>
        <v/>
      </c>
      <c r="AH12" s="30" t="str">
        <f ca="1">IF(COUNTIF(planning_general!Y$4:Y$104,$D12),INDIRECT("'planning_general'!BC"&amp;MATCH($D12,planning_general!Y$4:Y$104,0)+4-1),"")</f>
        <v/>
      </c>
      <c r="AI12" s="30" t="str">
        <f ca="1">IF(COUNTIF(planning_general!Z$4:Z$104,$D12),INDIRECT("'planning_general'!BD"&amp;MATCH($D12,planning_general!Z$4:Z$104,0)+4-1),"")</f>
        <v/>
      </c>
      <c r="AJ12" s="30" t="str">
        <f ca="1">IF(COUNTIF(planning_general!AA$4:AA$104,$D12),INDIRECT("'planning_general'!BE"&amp;MATCH($D12,planning_general!AA$4:AA$104,0)+4-1),"")</f>
        <v/>
      </c>
      <c r="AK12" s="30" t="str">
        <f ca="1">IF(COUNTIF(planning_general!AB$4:AB$104,$D12),INDIRECT("'planning_general'!BF"&amp;MATCH($D12,planning_general!AB$4:AB$104,0)+4-1),"")</f>
        <v/>
      </c>
      <c r="AL12" s="30" t="str">
        <f ca="1">IF(COUNTIF(planning_general!AC$4:AC$104,$D12),INDIRECT("'planning_general'!BG"&amp;MATCH($D12,planning_general!AC$4:AC$104,0)+4-1),"")</f>
        <v/>
      </c>
      <c r="AM12" s="30" t="str">
        <f ca="1">IF(COUNTIF(planning_general!AD$4:AD$104,$D12),INDIRECT("'planning_general'!BH"&amp;MATCH($D12,planning_general!AD$4:AD$104,0)+4-1),"")</f>
        <v/>
      </c>
      <c r="AN12" s="30" t="str">
        <f ca="1">IF(COUNTIF(planning_general!AE$4:AE$104,$D12),INDIRECT("'planning_general'!BI"&amp;MATCH($D12,planning_general!AE$4:AE$104,0)+4-1),"")</f>
        <v/>
      </c>
    </row>
    <row r="13" spans="1:40" ht="34.950000000000003" customHeight="1" x14ac:dyDescent="0.35">
      <c r="A13" s="35">
        <f>beneficiaires!$A12</f>
        <v>11</v>
      </c>
      <c r="B13" s="28" t="str">
        <f>beneficiaires!B12</f>
        <v>Dépraz</v>
      </c>
      <c r="C13" s="28" t="str">
        <f>beneficiaires!C12</f>
        <v>Maud</v>
      </c>
      <c r="D13" s="29" t="str">
        <f>beneficiaires!D12</f>
        <v>Maud_Dépraz</v>
      </c>
      <c r="E13" s="29" t="str">
        <f>beneficiaires!E12</f>
        <v>Dépraz_Maud</v>
      </c>
      <c r="F13" s="26">
        <f t="shared" si="0"/>
        <v>1</v>
      </c>
      <c r="G13" s="26" t="str">
        <f t="shared" si="0"/>
        <v/>
      </c>
      <c r="H13" s="26" t="str">
        <f t="shared" si="0"/>
        <v/>
      </c>
      <c r="I13" s="26" t="str">
        <f t="shared" si="0"/>
        <v/>
      </c>
      <c r="J13" s="26" t="str">
        <f t="shared" si="0"/>
        <v/>
      </c>
      <c r="K13" s="26" t="str">
        <f t="shared" si="0"/>
        <v/>
      </c>
      <c r="L13" s="26">
        <f>beneficiaires!J12</f>
        <v>30</v>
      </c>
      <c r="M13" s="30" t="str">
        <f ca="1">IF(COUNTIF(planning_general!D$4:D$104,$D13),INDIRECT("'planning_general'!AH"&amp;MATCH($D13,planning_general!D$4:D$104,0)+4-1),"")</f>
        <v>Production</v>
      </c>
      <c r="N13" s="30" t="str">
        <f ca="1">IF(COUNTIF(planning_general!E$4:E$104,$D13),INDIRECT("'planning_general'!AI"&amp;MATCH($D13,planning_general!E$4:E$104,0)+4-1),"")</f>
        <v/>
      </c>
      <c r="O13" s="30" t="str">
        <f ca="1">IF(COUNTIF(planning_general!F$4:F$104,$D13),INDIRECT("'planning_general'!AJ"&amp;MATCH($D13,planning_general!F$4:F$104,0)+4-1),"")</f>
        <v/>
      </c>
      <c r="P13" s="30" t="str">
        <f ca="1">IF(COUNTIF(planning_general!G$4:G$104,$D13),INDIRECT("'planning_general'!AK"&amp;MATCH($D13,planning_general!G$4:G$104,0)+4-1),"")</f>
        <v/>
      </c>
      <c r="Q13" s="30" t="str">
        <f ca="1">IF(COUNTIF(planning_general!H$4:H$104,$D13),INDIRECT("'planning_general'!AL"&amp;MATCH($D13,planning_general!H$4:H$104,0)+4-1),"")</f>
        <v/>
      </c>
      <c r="R13" s="30" t="str">
        <f ca="1">IF(COUNTIF(planning_general!I$4:I$104,$D13),INDIRECT("'planning_general'!AM"&amp;MATCH($D13,planning_general!I$4:I$104,0)+4-1),"")</f>
        <v/>
      </c>
      <c r="S13" s="30" t="str">
        <f ca="1">IF(COUNTIF(planning_general!J$4:J$104,$D13),INDIRECT("'planning_general'!AN"&amp;MATCH($D13,planning_general!J$4:J$104,0)+4-1),"")</f>
        <v/>
      </c>
      <c r="T13" s="30" t="str">
        <f ca="1">IF(COUNTIF(planning_general!K$4:K$104,$D13),INDIRECT("'planning_general'!AO"&amp;MATCH($D13,planning_general!K$4:K$104,0)+4-1),"")</f>
        <v/>
      </c>
      <c r="U13" s="30" t="str">
        <f ca="1">IF(COUNTIF(planning_general!L$4:L$104,$D13),INDIRECT("'planning_general'!AP"&amp;MATCH($D13,planning_general!L$4:L$104,0)+4-1),"")</f>
        <v/>
      </c>
      <c r="V13" s="30" t="str">
        <f ca="1">IF(COUNTIF(planning_general!M$4:M$104,$D13),INDIRECT("'planning_general'!AQ"&amp;MATCH($D13,planning_general!M$4:M$104,0)+4-1),"")</f>
        <v/>
      </c>
      <c r="W13" s="30" t="str">
        <f ca="1">IF(COUNTIF(planning_general!N$4:N$104,$D13),INDIRECT("'planning_general'!AR"&amp;MATCH($D13,planning_general!N$4:N$104,0)+4-1),"")</f>
        <v>Production</v>
      </c>
      <c r="X13" s="30" t="str">
        <f ca="1">IF(COUNTIF(planning_general!O$4:O$104,$D13),INDIRECT("'planning_general'!AS"&amp;MATCH($D13,planning_general!O$4:O$104,0)+4-1),"")</f>
        <v/>
      </c>
      <c r="Y13" s="30" t="str">
        <f ca="1">IF(COUNTIF(planning_general!P$4:P$104,$D13),INDIRECT("'planning_general'!AT"&amp;MATCH($D13,planning_general!P$4:P$104,0)+4-1),"")</f>
        <v/>
      </c>
      <c r="Z13" s="30" t="str">
        <f ca="1">IF(COUNTIF(planning_general!Q$4:Q$104,$D13),INDIRECT("'planning_general'!AU"&amp;MATCH($D13,planning_general!Q$4:Q$104,0)+4-1),"")</f>
        <v/>
      </c>
      <c r="AA13" s="30" t="str">
        <f ca="1">IF(COUNTIF(planning_general!R$4:R$104,$D13),INDIRECT("'planning_general'!AV"&amp;MATCH($D13,planning_general!R$4:R$104,0)+4-1),"")</f>
        <v>Production</v>
      </c>
      <c r="AB13" s="30" t="str">
        <f ca="1">IF(COUNTIF(planning_general!S$4:S$104,$D13),INDIRECT("'planning_general'!AW"&amp;MATCH($D13,planning_general!S$4:S$104,0)+4-1),"")</f>
        <v/>
      </c>
      <c r="AC13" s="30" t="str">
        <f ca="1">IF(COUNTIF(planning_general!T$4:T$104,$D13),INDIRECT("'planning_general'!AX"&amp;MATCH($D13,planning_general!T$4:T$104,0)+4-1),"")</f>
        <v/>
      </c>
      <c r="AD13" s="30" t="str">
        <f ca="1">IF(COUNTIF(planning_general!U$4:U$104,$D13),INDIRECT("'planning_general'!AY"&amp;MATCH($D13,planning_general!U$4:U$104,0)+4-1),"")</f>
        <v/>
      </c>
      <c r="AE13" s="30" t="str">
        <f ca="1">IF(COUNTIF(planning_general!V$4:V$104,$D13),INDIRECT("'planning_general'!AZ"&amp;MATCH($D13,planning_general!V$4:V$104,0)+4-1),"")</f>
        <v/>
      </c>
      <c r="AF13" s="30" t="str">
        <f ca="1">IF(COUNTIF(planning_general!W$4:W$104,$D13),INDIRECT("'planning_general'!BA"&amp;MATCH($D13,planning_general!W$4:W$104,0)+4-1),"")</f>
        <v/>
      </c>
      <c r="AG13" s="30" t="str">
        <f ca="1">IF(COUNTIF(planning_general!X$4:X$104,$D13),INDIRECT("'planning_general'!BB"&amp;MATCH($D13,planning_general!X$4:X$104,0)+4-1),"")</f>
        <v/>
      </c>
      <c r="AH13" s="30" t="str">
        <f ca="1">IF(COUNTIF(planning_general!Y$4:Y$104,$D13),INDIRECT("'planning_general'!BC"&amp;MATCH($D13,planning_general!Y$4:Y$104,0)+4-1),"")</f>
        <v/>
      </c>
      <c r="AI13" s="30" t="str">
        <f ca="1">IF(COUNTIF(planning_general!Z$4:Z$104,$D13),INDIRECT("'planning_general'!BD"&amp;MATCH($D13,planning_general!Z$4:Z$104,0)+4-1),"")</f>
        <v/>
      </c>
      <c r="AJ13" s="30" t="str">
        <f ca="1">IF(COUNTIF(planning_general!AA$4:AA$104,$D13),INDIRECT("'planning_general'!BE"&amp;MATCH($D13,planning_general!AA$4:AA$104,0)+4-1),"")</f>
        <v/>
      </c>
      <c r="AK13" s="30" t="str">
        <f ca="1">IF(COUNTIF(planning_general!AB$4:AB$104,$D13),INDIRECT("'planning_general'!BF"&amp;MATCH($D13,planning_general!AB$4:AB$104,0)+4-1),"")</f>
        <v/>
      </c>
      <c r="AL13" s="30" t="str">
        <f ca="1">IF(COUNTIF(planning_general!AC$4:AC$104,$D13),INDIRECT("'planning_general'!BG"&amp;MATCH($D13,planning_general!AC$4:AC$104,0)+4-1),"")</f>
        <v/>
      </c>
      <c r="AM13" s="30" t="str">
        <f ca="1">IF(COUNTIF(planning_general!AD$4:AD$104,$D13),INDIRECT("'planning_general'!BH"&amp;MATCH($D13,planning_general!AD$4:AD$104,0)+4-1),"")</f>
        <v/>
      </c>
      <c r="AN13" s="30" t="str">
        <f ca="1">IF(COUNTIF(planning_general!AE$4:AE$104,$D13),INDIRECT("'planning_general'!BI"&amp;MATCH($D13,planning_general!AE$4:AE$104,0)+4-1),"")</f>
        <v/>
      </c>
    </row>
    <row r="14" spans="1:40" ht="34.950000000000003" customHeight="1" x14ac:dyDescent="0.35">
      <c r="A14" s="35">
        <f>beneficiaires!$A13</f>
        <v>12</v>
      </c>
      <c r="B14" s="28" t="str">
        <f>beneficiaires!B13</f>
        <v>Ducraux</v>
      </c>
      <c r="C14" s="28" t="str">
        <f>beneficiaires!C13</f>
        <v>Nicolas</v>
      </c>
      <c r="D14" s="29" t="str">
        <f>beneficiaires!D13</f>
        <v>Nicolas_Ducraux</v>
      </c>
      <c r="E14" s="29" t="str">
        <f>beneficiaires!E13</f>
        <v>Ducraux_Nicolas</v>
      </c>
      <c r="F14" s="26" t="str">
        <f t="shared" si="0"/>
        <v/>
      </c>
      <c r="G14" s="26" t="str">
        <f t="shared" si="0"/>
        <v/>
      </c>
      <c r="H14" s="26">
        <f t="shared" si="0"/>
        <v>1</v>
      </c>
      <c r="I14" s="26" t="str">
        <f t="shared" si="0"/>
        <v/>
      </c>
      <c r="J14" s="26" t="str">
        <f t="shared" si="0"/>
        <v/>
      </c>
      <c r="K14" s="26" t="str">
        <f t="shared" si="0"/>
        <v/>
      </c>
      <c r="L14" s="26">
        <f>beneficiaires!J13</f>
        <v>60</v>
      </c>
      <c r="M14" s="30" t="str">
        <f ca="1">IF(COUNTIF(planning_general!D$4:D$104,$D14),INDIRECT("'planning_general'!AH"&amp;MATCH($D14,planning_general!D$4:D$104,0)+4-1),"")</f>
        <v/>
      </c>
      <c r="N14" s="30" t="str">
        <f ca="1">IF(COUNTIF(planning_general!E$4:E$104,$D14),INDIRECT("'planning_general'!AI"&amp;MATCH($D14,planning_general!E$4:E$104,0)+4-1),"")</f>
        <v/>
      </c>
      <c r="O14" s="30" t="str">
        <f ca="1">IF(COUNTIF(planning_general!F$4:F$104,$D14),INDIRECT("'planning_general'!AJ"&amp;MATCH($D14,planning_general!F$4:F$104,0)+4-1),"")</f>
        <v/>
      </c>
      <c r="P14" s="30" t="str">
        <f ca="1">IF(COUNTIF(planning_general!G$4:G$104,$D14),INDIRECT("'planning_general'!AK"&amp;MATCH($D14,planning_general!G$4:G$104,0)+4-1),"")</f>
        <v/>
      </c>
      <c r="Q14" s="30" t="str">
        <f ca="1">IF(COUNTIF(planning_general!H$4:H$104,$D14),INDIRECT("'planning_general'!AL"&amp;MATCH($D14,planning_general!H$4:H$104,0)+4-1),"")</f>
        <v>Cuisine</v>
      </c>
      <c r="R14" s="30" t="str">
        <f ca="1">IF(COUNTIF(planning_general!I$4:I$104,$D14),INDIRECT("'planning_general'!AM"&amp;MATCH($D14,planning_general!I$4:I$104,0)+4-1),"")</f>
        <v/>
      </c>
      <c r="S14" s="30" t="str">
        <f ca="1">IF(COUNTIF(planning_general!J$4:J$104,$D14),INDIRECT("'planning_general'!AN"&amp;MATCH($D14,planning_general!J$4:J$104,0)+4-1),"")</f>
        <v>Cuisine</v>
      </c>
      <c r="T14" s="30" t="str">
        <f ca="1">IF(COUNTIF(planning_general!K$4:K$104,$D14),INDIRECT("'planning_general'!AO"&amp;MATCH($D14,planning_general!K$4:K$104,0)+4-1),"")</f>
        <v/>
      </c>
      <c r="U14" s="30" t="str">
        <f ca="1">IF(COUNTIF(planning_general!L$4:L$104,$D14),INDIRECT("'planning_general'!AP"&amp;MATCH($D14,planning_general!L$4:L$104,0)+4-1),"")</f>
        <v/>
      </c>
      <c r="V14" s="30" t="str">
        <f ca="1">IF(COUNTIF(planning_general!M$4:M$104,$D14),INDIRECT("'planning_general'!AQ"&amp;MATCH($D14,planning_general!M$4:M$104,0)+4-1),"")</f>
        <v/>
      </c>
      <c r="W14" s="30" t="str">
        <f ca="1">IF(COUNTIF(planning_general!N$4:N$104,$D14),INDIRECT("'planning_general'!AR"&amp;MATCH($D14,planning_general!N$4:N$104,0)+4-1),"")</f>
        <v/>
      </c>
      <c r="X14" s="30" t="str">
        <f ca="1">IF(COUNTIF(planning_general!O$4:O$104,$D14),INDIRECT("'planning_general'!AS"&amp;MATCH($D14,planning_general!O$4:O$104,0)+4-1),"")</f>
        <v/>
      </c>
      <c r="Y14" s="30" t="str">
        <f ca="1">IF(COUNTIF(planning_general!P$4:P$104,$D14),INDIRECT("'planning_general'!AT"&amp;MATCH($D14,planning_general!P$4:P$104,0)+4-1),"")</f>
        <v>Cuisine</v>
      </c>
      <c r="Z14" s="30" t="str">
        <f ca="1">IF(COUNTIF(planning_general!Q$4:Q$104,$D14),INDIRECT("'planning_general'!AU"&amp;MATCH($D14,planning_general!Q$4:Q$104,0)+4-1),"")</f>
        <v/>
      </c>
      <c r="AA14" s="30" t="str">
        <f ca="1">IF(COUNTIF(planning_general!R$4:R$104,$D14),INDIRECT("'planning_general'!AV"&amp;MATCH($D14,planning_general!R$4:R$104,0)+4-1),"")</f>
        <v>Cuisine</v>
      </c>
      <c r="AB14" s="30" t="str">
        <f ca="1">IF(COUNTIF(planning_general!S$4:S$104,$D14),INDIRECT("'planning_general'!AW"&amp;MATCH($D14,planning_general!S$4:S$104,0)+4-1),"")</f>
        <v/>
      </c>
      <c r="AC14" s="30" t="str">
        <f ca="1">IF(COUNTIF(planning_general!T$4:T$104,$D14),INDIRECT("'planning_general'!AX"&amp;MATCH($D14,planning_general!T$4:T$104,0)+4-1),"")</f>
        <v>Cuisine</v>
      </c>
      <c r="AD14" s="30" t="str">
        <f ca="1">IF(COUNTIF(planning_general!U$4:U$104,$D14),INDIRECT("'planning_general'!AY"&amp;MATCH($D14,planning_general!U$4:U$104,0)+4-1),"")</f>
        <v/>
      </c>
      <c r="AE14" s="30" t="str">
        <f ca="1">IF(COUNTIF(planning_general!V$4:V$104,$D14),INDIRECT("'planning_general'!AZ"&amp;MATCH($D14,planning_general!V$4:V$104,0)+4-1),"")</f>
        <v>Cuisine</v>
      </c>
      <c r="AF14" s="30" t="str">
        <f ca="1">IF(COUNTIF(planning_general!W$4:W$104,$D14),INDIRECT("'planning_general'!BA"&amp;MATCH($D14,planning_general!W$4:W$104,0)+4-1),"")</f>
        <v/>
      </c>
      <c r="AG14" s="30" t="str">
        <f ca="1">IF(COUNTIF(planning_general!X$4:X$104,$D14),INDIRECT("'planning_general'!BB"&amp;MATCH($D14,planning_general!X$4:X$104,0)+4-1),"")</f>
        <v/>
      </c>
      <c r="AH14" s="30" t="str">
        <f ca="1">IF(COUNTIF(planning_general!Y$4:Y$104,$D14),INDIRECT("'planning_general'!BC"&amp;MATCH($D14,planning_general!Y$4:Y$104,0)+4-1),"")</f>
        <v/>
      </c>
      <c r="AI14" s="30" t="str">
        <f ca="1">IF(COUNTIF(planning_general!Z$4:Z$104,$D14),INDIRECT("'planning_general'!BD"&amp;MATCH($D14,planning_general!Z$4:Z$104,0)+4-1),"")</f>
        <v/>
      </c>
      <c r="AJ14" s="30" t="str">
        <f ca="1">IF(COUNTIF(planning_general!AA$4:AA$104,$D14),INDIRECT("'planning_general'!BE"&amp;MATCH($D14,planning_general!AA$4:AA$104,0)+4-1),"")</f>
        <v/>
      </c>
      <c r="AK14" s="30" t="str">
        <f ca="1">IF(COUNTIF(planning_general!AB$4:AB$104,$D14),INDIRECT("'planning_general'!BF"&amp;MATCH($D14,planning_general!AB$4:AB$104,0)+4-1),"")</f>
        <v/>
      </c>
      <c r="AL14" s="30" t="str">
        <f ca="1">IF(COUNTIF(planning_general!AC$4:AC$104,$D14),INDIRECT("'planning_general'!BG"&amp;MATCH($D14,planning_general!AC$4:AC$104,0)+4-1),"")</f>
        <v/>
      </c>
      <c r="AM14" s="30" t="str">
        <f ca="1">IF(COUNTIF(planning_general!AD$4:AD$104,$D14),INDIRECT("'planning_general'!BH"&amp;MATCH($D14,planning_general!AD$4:AD$104,0)+4-1),"")</f>
        <v/>
      </c>
      <c r="AN14" s="30" t="str">
        <f ca="1">IF(COUNTIF(planning_general!AE$4:AE$104,$D14),INDIRECT("'planning_general'!BI"&amp;MATCH($D14,planning_general!AE$4:AE$104,0)+4-1),"")</f>
        <v/>
      </c>
    </row>
    <row r="15" spans="1:40" ht="34.950000000000003" customHeight="1" x14ac:dyDescent="0.35">
      <c r="A15" s="35">
        <f>beneficiaires!$A14</f>
        <v>13</v>
      </c>
      <c r="B15" s="28" t="str">
        <f>beneficiaires!B14</f>
        <v>Franzone</v>
      </c>
      <c r="C15" s="28" t="str">
        <f>beneficiaires!C14</f>
        <v>Samantha</v>
      </c>
      <c r="D15" s="29" t="str">
        <f>beneficiaires!D14</f>
        <v>Samantha_Franzone</v>
      </c>
      <c r="E15" s="29" t="str">
        <f>beneficiaires!E14</f>
        <v>Franzone_Samantha</v>
      </c>
      <c r="F15" s="26">
        <f t="shared" si="0"/>
        <v>1</v>
      </c>
      <c r="G15" s="26" t="str">
        <f t="shared" si="0"/>
        <v/>
      </c>
      <c r="H15" s="26" t="str">
        <f t="shared" si="0"/>
        <v/>
      </c>
      <c r="I15" s="26" t="str">
        <f t="shared" si="0"/>
        <v/>
      </c>
      <c r="J15" s="26" t="str">
        <f t="shared" si="0"/>
        <v/>
      </c>
      <c r="K15" s="26" t="str">
        <f t="shared" si="0"/>
        <v/>
      </c>
      <c r="L15" s="26">
        <f>beneficiaires!J14</f>
        <v>10</v>
      </c>
      <c r="M15" s="30" t="str">
        <f ca="1">IF(COUNTIF(planning_general!D$4:D$104,$D15),INDIRECT("'planning_general'!AH"&amp;MATCH($D15,planning_general!D$4:D$104,0)+4-1),"")</f>
        <v/>
      </c>
      <c r="N15" s="30" t="str">
        <f ca="1">IF(COUNTIF(planning_general!E$4:E$104,$D15),INDIRECT("'planning_general'!AI"&amp;MATCH($D15,planning_general!E$4:E$104,0)+4-1),"")</f>
        <v/>
      </c>
      <c r="O15" s="30" t="str">
        <f ca="1">IF(COUNTIF(planning_general!F$4:F$104,$D15),INDIRECT("'planning_general'!AJ"&amp;MATCH($D15,planning_general!F$4:F$104,0)+4-1),"")</f>
        <v/>
      </c>
      <c r="P15" s="30" t="str">
        <f ca="1">IF(COUNTIF(planning_general!G$4:G$104,$D15),INDIRECT("'planning_general'!AK"&amp;MATCH($D15,planning_general!G$4:G$104,0)+4-1),"")</f>
        <v/>
      </c>
      <c r="Q15" s="30" t="str">
        <f ca="1">IF(COUNTIF(planning_general!H$4:H$104,$D15),INDIRECT("'planning_general'!AL"&amp;MATCH($D15,planning_general!H$4:H$104,0)+4-1),"")</f>
        <v/>
      </c>
      <c r="R15" s="30" t="str">
        <f ca="1">IF(COUNTIF(planning_general!I$4:I$104,$D15),INDIRECT("'planning_general'!AM"&amp;MATCH($D15,planning_general!I$4:I$104,0)+4-1),"")</f>
        <v/>
      </c>
      <c r="S15" s="30" t="str">
        <f ca="1">IF(COUNTIF(planning_general!J$4:J$104,$D15),INDIRECT("'planning_general'!AN"&amp;MATCH($D15,planning_general!J$4:J$104,0)+4-1),"")</f>
        <v/>
      </c>
      <c r="T15" s="30" t="str">
        <f ca="1">IF(COUNTIF(planning_general!K$4:K$104,$D15),INDIRECT("'planning_general'!AO"&amp;MATCH($D15,planning_general!K$4:K$104,0)+4-1),"")</f>
        <v/>
      </c>
      <c r="U15" s="30" t="str">
        <f ca="1">IF(COUNTIF(planning_general!L$4:L$104,$D15),INDIRECT("'planning_general'!AP"&amp;MATCH($D15,planning_general!L$4:L$104,0)+4-1),"")</f>
        <v/>
      </c>
      <c r="V15" s="30" t="str">
        <f ca="1">IF(COUNTIF(planning_general!M$4:M$104,$D15),INDIRECT("'planning_general'!AQ"&amp;MATCH($D15,planning_general!M$4:M$104,0)+4-1),"")</f>
        <v/>
      </c>
      <c r="W15" s="30" t="str">
        <f ca="1">IF(COUNTIF(planning_general!N$4:N$104,$D15),INDIRECT("'planning_general'!AR"&amp;MATCH($D15,planning_general!N$4:N$104,0)+4-1),"")</f>
        <v>REA</v>
      </c>
      <c r="X15" s="30" t="str">
        <f ca="1">IF(COUNTIF(planning_general!O$4:O$104,$D15),INDIRECT("'planning_general'!AS"&amp;MATCH($D15,planning_general!O$4:O$104,0)+4-1),"")</f>
        <v/>
      </c>
      <c r="Y15" s="30" t="str">
        <f ca="1">IF(COUNTIF(planning_general!P$4:P$104,$D15),INDIRECT("'planning_general'!AT"&amp;MATCH($D15,planning_general!P$4:P$104,0)+4-1),"")</f>
        <v/>
      </c>
      <c r="Z15" s="30" t="str">
        <f ca="1">IF(COUNTIF(planning_general!Q$4:Q$104,$D15),INDIRECT("'planning_general'!AU"&amp;MATCH($D15,planning_general!Q$4:Q$104,0)+4-1),"")</f>
        <v/>
      </c>
      <c r="AA15" s="30" t="str">
        <f ca="1">IF(COUNTIF(planning_general!R$4:R$104,$D15),INDIRECT("'planning_general'!AV"&amp;MATCH($D15,planning_general!R$4:R$104,0)+4-1),"")</f>
        <v/>
      </c>
      <c r="AB15" s="30" t="str">
        <f ca="1">IF(COUNTIF(planning_general!S$4:S$104,$D15),INDIRECT("'planning_general'!AW"&amp;MATCH($D15,planning_general!S$4:S$104,0)+4-1),"")</f>
        <v/>
      </c>
      <c r="AC15" s="30" t="str">
        <f ca="1">IF(COUNTIF(planning_general!T$4:T$104,$D15),INDIRECT("'planning_general'!AX"&amp;MATCH($D15,planning_general!T$4:T$104,0)+4-1),"")</f>
        <v/>
      </c>
      <c r="AD15" s="30" t="str">
        <f ca="1">IF(COUNTIF(planning_general!U$4:U$104,$D15),INDIRECT("'planning_general'!AY"&amp;MATCH($D15,planning_general!U$4:U$104,0)+4-1),"")</f>
        <v/>
      </c>
      <c r="AE15" s="30" t="str">
        <f ca="1">IF(COUNTIF(planning_general!V$4:V$104,$D15),INDIRECT("'planning_general'!AZ"&amp;MATCH($D15,planning_general!V$4:V$104,0)+4-1),"")</f>
        <v/>
      </c>
      <c r="AF15" s="30" t="str">
        <f ca="1">IF(COUNTIF(planning_general!W$4:W$104,$D15),INDIRECT("'planning_general'!BA"&amp;MATCH($D15,planning_general!W$4:W$104,0)+4-1),"")</f>
        <v/>
      </c>
      <c r="AG15" s="30" t="str">
        <f ca="1">IF(COUNTIF(planning_general!X$4:X$104,$D15),INDIRECT("'planning_general'!BB"&amp;MATCH($D15,planning_general!X$4:X$104,0)+4-1),"")</f>
        <v/>
      </c>
      <c r="AH15" s="30" t="str">
        <f ca="1">IF(COUNTIF(planning_general!Y$4:Y$104,$D15),INDIRECT("'planning_general'!BC"&amp;MATCH($D15,planning_general!Y$4:Y$104,0)+4-1),"")</f>
        <v/>
      </c>
      <c r="AI15" s="30" t="str">
        <f ca="1">IF(COUNTIF(planning_general!Z$4:Z$104,$D15),INDIRECT("'planning_general'!BD"&amp;MATCH($D15,planning_general!Z$4:Z$104,0)+4-1),"")</f>
        <v/>
      </c>
      <c r="AJ15" s="30" t="str">
        <f ca="1">IF(COUNTIF(planning_general!AA$4:AA$104,$D15),INDIRECT("'planning_general'!BE"&amp;MATCH($D15,planning_general!AA$4:AA$104,0)+4-1),"")</f>
        <v/>
      </c>
      <c r="AK15" s="30" t="str">
        <f ca="1">IF(COUNTIF(planning_general!AB$4:AB$104,$D15),INDIRECT("'planning_general'!BF"&amp;MATCH($D15,planning_general!AB$4:AB$104,0)+4-1),"")</f>
        <v/>
      </c>
      <c r="AL15" s="30" t="str">
        <f ca="1">IF(COUNTIF(planning_general!AC$4:AC$104,$D15),INDIRECT("'planning_general'!BG"&amp;MATCH($D15,planning_general!AC$4:AC$104,0)+4-1),"")</f>
        <v/>
      </c>
      <c r="AM15" s="30" t="str">
        <f ca="1">IF(COUNTIF(planning_general!AD$4:AD$104,$D15),INDIRECT("'planning_general'!BH"&amp;MATCH($D15,planning_general!AD$4:AD$104,0)+4-1),"")</f>
        <v/>
      </c>
      <c r="AN15" s="30" t="str">
        <f ca="1">IF(COUNTIF(planning_general!AE$4:AE$104,$D15),INDIRECT("'planning_general'!BI"&amp;MATCH($D15,planning_general!AE$4:AE$104,0)+4-1),"")</f>
        <v/>
      </c>
    </row>
    <row r="16" spans="1:40" ht="34.950000000000003" customHeight="1" x14ac:dyDescent="0.35">
      <c r="A16" s="35">
        <f>beneficiaires!$A15</f>
        <v>14</v>
      </c>
      <c r="B16" s="28" t="str">
        <f>beneficiaires!B15</f>
        <v>Guilgot</v>
      </c>
      <c r="C16" s="28" t="str">
        <f>beneficiaires!C15</f>
        <v>Sylvie</v>
      </c>
      <c r="D16" s="29" t="str">
        <f>beneficiaires!D15</f>
        <v>Sylvie_Guilgot</v>
      </c>
      <c r="E16" s="29" t="str">
        <f>beneficiaires!E15</f>
        <v>Guilgot_Sylvie</v>
      </c>
      <c r="F16" s="26" t="str">
        <f t="shared" si="0"/>
        <v/>
      </c>
      <c r="G16" s="26" t="str">
        <f t="shared" si="0"/>
        <v/>
      </c>
      <c r="H16" s="26">
        <f t="shared" si="0"/>
        <v>1</v>
      </c>
      <c r="I16" s="26" t="str">
        <f t="shared" si="0"/>
        <v/>
      </c>
      <c r="J16" s="26" t="str">
        <f t="shared" si="0"/>
        <v/>
      </c>
      <c r="K16" s="26" t="str">
        <f t="shared" si="0"/>
        <v/>
      </c>
      <c r="L16" s="26">
        <f>beneficiaires!J15</f>
        <v>40</v>
      </c>
      <c r="M16" s="30" t="str">
        <f ca="1">IF(COUNTIF(planning_general!D$4:D$104,$D16),INDIRECT("'planning_general'!AH"&amp;MATCH($D16,planning_general!D$4:D$104,0)+4-1),"")</f>
        <v/>
      </c>
      <c r="N16" s="30" t="str">
        <f ca="1">IF(COUNTIF(planning_general!E$4:E$104,$D16),INDIRECT("'planning_general'!AI"&amp;MATCH($D16,planning_general!E$4:E$104,0)+4-1),"")</f>
        <v/>
      </c>
      <c r="O16" s="30" t="str">
        <f ca="1">IF(COUNTIF(planning_general!F$4:F$104,$D16),INDIRECT("'planning_general'!AJ"&amp;MATCH($D16,planning_general!F$4:F$104,0)+4-1),"")</f>
        <v/>
      </c>
      <c r="P16" s="30" t="str">
        <f ca="1">IF(COUNTIF(planning_general!G$4:G$104,$D16),INDIRECT("'planning_general'!AK"&amp;MATCH($D16,planning_general!G$4:G$104,0)+4-1),"")</f>
        <v/>
      </c>
      <c r="Q16" s="30" t="str">
        <f ca="1">IF(COUNTIF(planning_general!H$4:H$104,$D16),INDIRECT("'planning_general'!AL"&amp;MATCH($D16,planning_general!H$4:H$104,0)+4-1),"")</f>
        <v>Cuisine</v>
      </c>
      <c r="R16" s="30" t="str">
        <f ca="1">IF(COUNTIF(planning_general!I$4:I$104,$D16),INDIRECT("'planning_general'!AM"&amp;MATCH($D16,planning_general!I$4:I$104,0)+4-1),"")</f>
        <v/>
      </c>
      <c r="S16" s="30" t="str">
        <f ca="1">IF(COUNTIF(planning_general!J$4:J$104,$D16),INDIRECT("'planning_general'!AN"&amp;MATCH($D16,planning_general!J$4:J$104,0)+4-1),"")</f>
        <v>Cuisine</v>
      </c>
      <c r="T16" s="30" t="str">
        <f ca="1">IF(COUNTIF(planning_general!K$4:K$104,$D16),INDIRECT("'planning_general'!AO"&amp;MATCH($D16,planning_general!K$4:K$104,0)+4-1),"")</f>
        <v/>
      </c>
      <c r="U16" s="30" t="str">
        <f ca="1">IF(COUNTIF(planning_general!L$4:L$104,$D16),INDIRECT("'planning_general'!AP"&amp;MATCH($D16,planning_general!L$4:L$104,0)+4-1),"")</f>
        <v/>
      </c>
      <c r="V16" s="30" t="str">
        <f ca="1">IF(COUNTIF(planning_general!M$4:M$104,$D16),INDIRECT("'planning_general'!AQ"&amp;MATCH($D16,planning_general!M$4:M$104,0)+4-1),"")</f>
        <v/>
      </c>
      <c r="W16" s="30" t="str">
        <f ca="1">IF(COUNTIF(planning_general!N$4:N$104,$D16),INDIRECT("'planning_general'!AR"&amp;MATCH($D16,planning_general!N$4:N$104,0)+4-1),"")</f>
        <v/>
      </c>
      <c r="X16" s="30" t="str">
        <f ca="1">IF(COUNTIF(planning_general!O$4:O$104,$D16),INDIRECT("'planning_general'!AS"&amp;MATCH($D16,planning_general!O$4:O$104,0)+4-1),"")</f>
        <v/>
      </c>
      <c r="Y16" s="30" t="str">
        <f ca="1">IF(COUNTIF(planning_general!P$4:P$104,$D16),INDIRECT("'planning_general'!AT"&amp;MATCH($D16,planning_general!P$4:P$104,0)+4-1),"")</f>
        <v>Cuisine</v>
      </c>
      <c r="Z16" s="30" t="str">
        <f ca="1">IF(COUNTIF(planning_general!Q$4:Q$104,$D16),INDIRECT("'planning_general'!AU"&amp;MATCH($D16,planning_general!Q$4:Q$104,0)+4-1),"")</f>
        <v/>
      </c>
      <c r="AA16" s="30" t="str">
        <f ca="1">IF(COUNTIF(planning_general!R$4:R$104,$D16),INDIRECT("'planning_general'!AV"&amp;MATCH($D16,planning_general!R$4:R$104,0)+4-1),"")</f>
        <v>Cuisine</v>
      </c>
      <c r="AB16" s="30" t="str">
        <f ca="1">IF(COUNTIF(planning_general!S$4:S$104,$D16),INDIRECT("'planning_general'!AW"&amp;MATCH($D16,planning_general!S$4:S$104,0)+4-1),"")</f>
        <v/>
      </c>
      <c r="AC16" s="30" t="str">
        <f ca="1">IF(COUNTIF(planning_general!T$4:T$104,$D16),INDIRECT("'planning_general'!AX"&amp;MATCH($D16,planning_general!T$4:T$104,0)+4-1),"")</f>
        <v/>
      </c>
      <c r="AD16" s="30" t="str">
        <f ca="1">IF(COUNTIF(planning_general!U$4:U$104,$D16),INDIRECT("'planning_general'!AY"&amp;MATCH($D16,planning_general!U$4:U$104,0)+4-1),"")</f>
        <v/>
      </c>
      <c r="AE16" s="30" t="str">
        <f ca="1">IF(COUNTIF(planning_general!V$4:V$104,$D16),INDIRECT("'planning_general'!AZ"&amp;MATCH($D16,planning_general!V$4:V$104,0)+4-1),"")</f>
        <v/>
      </c>
      <c r="AF16" s="30" t="str">
        <f ca="1">IF(COUNTIF(planning_general!W$4:W$104,$D16),INDIRECT("'planning_general'!BA"&amp;MATCH($D16,planning_general!W$4:W$104,0)+4-1),"")</f>
        <v/>
      </c>
      <c r="AG16" s="30" t="str">
        <f ca="1">IF(COUNTIF(planning_general!X$4:X$104,$D16),INDIRECT("'planning_general'!BB"&amp;MATCH($D16,planning_general!X$4:X$104,0)+4-1),"")</f>
        <v/>
      </c>
      <c r="AH16" s="30" t="str">
        <f ca="1">IF(COUNTIF(planning_general!Y$4:Y$104,$D16),INDIRECT("'planning_general'!BC"&amp;MATCH($D16,planning_general!Y$4:Y$104,0)+4-1),"")</f>
        <v/>
      </c>
      <c r="AI16" s="30" t="str">
        <f ca="1">IF(COUNTIF(planning_general!Z$4:Z$104,$D16),INDIRECT("'planning_general'!BD"&amp;MATCH($D16,planning_general!Z$4:Z$104,0)+4-1),"")</f>
        <v/>
      </c>
      <c r="AJ16" s="30" t="str">
        <f ca="1">IF(COUNTIF(planning_general!AA$4:AA$104,$D16),INDIRECT("'planning_general'!BE"&amp;MATCH($D16,planning_general!AA$4:AA$104,0)+4-1),"")</f>
        <v/>
      </c>
      <c r="AK16" s="30" t="str">
        <f ca="1">IF(COUNTIF(planning_general!AB$4:AB$104,$D16),INDIRECT("'planning_general'!BF"&amp;MATCH($D16,planning_general!AB$4:AB$104,0)+4-1),"")</f>
        <v/>
      </c>
      <c r="AL16" s="30" t="str">
        <f ca="1">IF(COUNTIF(planning_general!AC$4:AC$104,$D16),INDIRECT("'planning_general'!BG"&amp;MATCH($D16,planning_general!AC$4:AC$104,0)+4-1),"")</f>
        <v/>
      </c>
      <c r="AM16" s="30" t="str">
        <f ca="1">IF(COUNTIF(planning_general!AD$4:AD$104,$D16),INDIRECT("'planning_general'!BH"&amp;MATCH($D16,planning_general!AD$4:AD$104,0)+4-1),"")</f>
        <v/>
      </c>
      <c r="AN16" s="30" t="str">
        <f ca="1">IF(COUNTIF(planning_general!AE$4:AE$104,$D16),INDIRECT("'planning_general'!BI"&amp;MATCH($D16,planning_general!AE$4:AE$104,0)+4-1),"")</f>
        <v/>
      </c>
    </row>
    <row r="17" spans="1:40" ht="34.950000000000003" customHeight="1" x14ac:dyDescent="0.35">
      <c r="A17" s="35">
        <f>beneficiaires!$A16</f>
        <v>15</v>
      </c>
      <c r="B17" s="28" t="str">
        <f>beneficiaires!B16</f>
        <v>Hafner</v>
      </c>
      <c r="C17" s="28" t="str">
        <f>beneficiaires!C16</f>
        <v>Dominique</v>
      </c>
      <c r="D17" s="29" t="str">
        <f>beneficiaires!D16</f>
        <v>Dominique_Hafner</v>
      </c>
      <c r="E17" s="29" t="str">
        <f>beneficiaires!E16</f>
        <v>Hafner_Dominique</v>
      </c>
      <c r="F17" s="26">
        <f t="shared" si="0"/>
        <v>1</v>
      </c>
      <c r="G17" s="26" t="str">
        <f t="shared" si="0"/>
        <v/>
      </c>
      <c r="H17" s="26" t="str">
        <f t="shared" si="0"/>
        <v/>
      </c>
      <c r="I17" s="26" t="str">
        <f t="shared" si="0"/>
        <v/>
      </c>
      <c r="J17" s="26" t="str">
        <f t="shared" si="0"/>
        <v/>
      </c>
      <c r="K17" s="26" t="str">
        <f t="shared" si="0"/>
        <v/>
      </c>
      <c r="L17" s="26">
        <f>beneficiaires!J16</f>
        <v>60</v>
      </c>
      <c r="M17" s="30" t="str">
        <f ca="1">IF(COUNTIF(planning_general!D$4:D$104,$D17),INDIRECT("'planning_general'!AH"&amp;MATCH($D17,planning_general!D$4:D$104,0)+4-1),"")</f>
        <v>Production</v>
      </c>
      <c r="N17" s="30" t="str">
        <f ca="1">IF(COUNTIF(planning_general!E$4:E$104,$D17),INDIRECT("'planning_general'!AI"&amp;MATCH($D17,planning_general!E$4:E$104,0)+4-1),"")</f>
        <v/>
      </c>
      <c r="O17" s="30" t="str">
        <f ca="1">IF(COUNTIF(planning_general!F$4:F$104,$D17),INDIRECT("'planning_general'!AJ"&amp;MATCH($D17,planning_general!F$4:F$104,0)+4-1),"")</f>
        <v/>
      </c>
      <c r="P17" s="30" t="str">
        <f ca="1">IF(COUNTIF(planning_general!G$4:G$104,$D17),INDIRECT("'planning_general'!AK"&amp;MATCH($D17,planning_general!G$4:G$104,0)+4-1),"")</f>
        <v/>
      </c>
      <c r="Q17" s="30" t="str">
        <f ca="1">IF(COUNTIF(planning_general!H$4:H$104,$D17),INDIRECT("'planning_general'!AL"&amp;MATCH($D17,planning_general!H$4:H$104,0)+4-1),"")</f>
        <v>Production</v>
      </c>
      <c r="R17" s="30" t="str">
        <f ca="1">IF(COUNTIF(planning_general!I$4:I$104,$D17),INDIRECT("'planning_general'!AM"&amp;MATCH($D17,planning_general!I$4:I$104,0)+4-1),"")</f>
        <v/>
      </c>
      <c r="S17" s="30" t="str">
        <f ca="1">IF(COUNTIF(planning_general!J$4:J$104,$D17),INDIRECT("'planning_general'!AN"&amp;MATCH($D17,planning_general!J$4:J$104,0)+4-1),"")</f>
        <v>Production</v>
      </c>
      <c r="T17" s="30" t="str">
        <f ca="1">IF(COUNTIF(planning_general!K$4:K$104,$D17),INDIRECT("'planning_general'!AO"&amp;MATCH($D17,planning_general!K$4:K$104,0)+4-1),"")</f>
        <v/>
      </c>
      <c r="U17" s="30" t="str">
        <f ca="1">IF(COUNTIF(planning_general!L$4:L$104,$D17),INDIRECT("'planning_general'!AP"&amp;MATCH($D17,planning_general!L$4:L$104,0)+4-1),"")</f>
        <v>Production</v>
      </c>
      <c r="V17" s="30" t="str">
        <f ca="1">IF(COUNTIF(planning_general!M$4:M$104,$D17),INDIRECT("'planning_general'!AQ"&amp;MATCH($D17,planning_general!M$4:M$104,0)+4-1),"")</f>
        <v/>
      </c>
      <c r="W17" s="30" t="str">
        <f ca="1">IF(COUNTIF(planning_general!N$4:N$104,$D17),INDIRECT("'planning_general'!AR"&amp;MATCH($D17,planning_general!N$4:N$104,0)+4-1),"")</f>
        <v/>
      </c>
      <c r="X17" s="30" t="str">
        <f ca="1">IF(COUNTIF(planning_general!O$4:O$104,$D17),INDIRECT("'planning_general'!AS"&amp;MATCH($D17,planning_general!O$4:O$104,0)+4-1),"")</f>
        <v/>
      </c>
      <c r="Y17" s="30" t="str">
        <f ca="1">IF(COUNTIF(planning_general!P$4:P$104,$D17),INDIRECT("'planning_general'!AT"&amp;MATCH($D17,planning_general!P$4:P$104,0)+4-1),"")</f>
        <v>Production</v>
      </c>
      <c r="Z17" s="30" t="str">
        <f ca="1">IF(COUNTIF(planning_general!Q$4:Q$104,$D17),INDIRECT("'planning_general'!AU"&amp;MATCH($D17,planning_general!Q$4:Q$104,0)+4-1),"")</f>
        <v/>
      </c>
      <c r="AA17" s="30" t="str">
        <f ca="1">IF(COUNTIF(planning_general!R$4:R$104,$D17),INDIRECT("'planning_general'!AV"&amp;MATCH($D17,planning_general!R$4:R$104,0)+4-1),"")</f>
        <v>Production</v>
      </c>
      <c r="AB17" s="30" t="str">
        <f ca="1">IF(COUNTIF(planning_general!S$4:S$104,$D17),INDIRECT("'planning_general'!AW"&amp;MATCH($D17,planning_general!S$4:S$104,0)+4-1),"")</f>
        <v/>
      </c>
      <c r="AC17" s="30" t="str">
        <f ca="1">IF(COUNTIF(planning_general!T$4:T$104,$D17),INDIRECT("'planning_general'!AX"&amp;MATCH($D17,planning_general!T$4:T$104,0)+4-1),"")</f>
        <v/>
      </c>
      <c r="AD17" s="30" t="str">
        <f ca="1">IF(COUNTIF(planning_general!U$4:U$104,$D17),INDIRECT("'planning_general'!AY"&amp;MATCH($D17,planning_general!U$4:U$104,0)+4-1),"")</f>
        <v/>
      </c>
      <c r="AE17" s="30" t="str">
        <f ca="1">IF(COUNTIF(planning_general!V$4:V$104,$D17),INDIRECT("'planning_general'!AZ"&amp;MATCH($D17,planning_general!V$4:V$104,0)+4-1),"")</f>
        <v/>
      </c>
      <c r="AF17" s="30" t="str">
        <f ca="1">IF(COUNTIF(planning_general!W$4:W$104,$D17),INDIRECT("'planning_general'!BA"&amp;MATCH($D17,planning_general!W$4:W$104,0)+4-1),"")</f>
        <v/>
      </c>
      <c r="AG17" s="30" t="str">
        <f ca="1">IF(COUNTIF(planning_general!X$4:X$104,$D17),INDIRECT("'planning_general'!BB"&amp;MATCH($D17,planning_general!X$4:X$104,0)+4-1),"")</f>
        <v/>
      </c>
      <c r="AH17" s="30" t="str">
        <f ca="1">IF(COUNTIF(planning_general!Y$4:Y$104,$D17),INDIRECT("'planning_general'!BC"&amp;MATCH($D17,planning_general!Y$4:Y$104,0)+4-1),"")</f>
        <v/>
      </c>
      <c r="AI17" s="30" t="str">
        <f ca="1">IF(COUNTIF(planning_general!Z$4:Z$104,$D17),INDIRECT("'planning_general'!BD"&amp;MATCH($D17,planning_general!Z$4:Z$104,0)+4-1),"")</f>
        <v/>
      </c>
      <c r="AJ17" s="30" t="str">
        <f ca="1">IF(COUNTIF(planning_general!AA$4:AA$104,$D17),INDIRECT("'planning_general'!BE"&amp;MATCH($D17,planning_general!AA$4:AA$104,0)+4-1),"")</f>
        <v/>
      </c>
      <c r="AK17" s="30" t="str">
        <f ca="1">IF(COUNTIF(planning_general!AB$4:AB$104,$D17),INDIRECT("'planning_general'!BF"&amp;MATCH($D17,planning_general!AB$4:AB$104,0)+4-1),"")</f>
        <v/>
      </c>
      <c r="AL17" s="30" t="str">
        <f ca="1">IF(COUNTIF(planning_general!AC$4:AC$104,$D17),INDIRECT("'planning_general'!BG"&amp;MATCH($D17,planning_general!AC$4:AC$104,0)+4-1),"")</f>
        <v/>
      </c>
      <c r="AM17" s="30" t="str">
        <f ca="1">IF(COUNTIF(planning_general!AD$4:AD$104,$D17),INDIRECT("'planning_general'!BH"&amp;MATCH($D17,planning_general!AD$4:AD$104,0)+4-1),"")</f>
        <v/>
      </c>
      <c r="AN17" s="30" t="str">
        <f ca="1">IF(COUNTIF(planning_general!AE$4:AE$104,$D17),INDIRECT("'planning_general'!BI"&amp;MATCH($D17,planning_general!AE$4:AE$104,0)+4-1),"")</f>
        <v/>
      </c>
    </row>
    <row r="18" spans="1:40" ht="34.950000000000003" customHeight="1" x14ac:dyDescent="0.35">
      <c r="A18" s="35">
        <f>beneficiaires!$A17</f>
        <v>16</v>
      </c>
      <c r="B18" s="28" t="str">
        <f>beneficiaires!B17</f>
        <v>Hasani</v>
      </c>
      <c r="C18" s="28" t="str">
        <f>beneficiaires!C17</f>
        <v>Dzemila</v>
      </c>
      <c r="D18" s="29" t="str">
        <f>beneficiaires!D17</f>
        <v>Dzemila_Hasani</v>
      </c>
      <c r="E18" s="29" t="str">
        <f>beneficiaires!E17</f>
        <v>Hasani_Dzemila</v>
      </c>
      <c r="F18" s="26">
        <f t="shared" si="0"/>
        <v>1</v>
      </c>
      <c r="G18" s="26" t="str">
        <f t="shared" si="0"/>
        <v/>
      </c>
      <c r="H18" s="26" t="str">
        <f t="shared" si="0"/>
        <v/>
      </c>
      <c r="I18" s="26" t="str">
        <f t="shared" si="0"/>
        <v/>
      </c>
      <c r="J18" s="26" t="str">
        <f t="shared" si="0"/>
        <v/>
      </c>
      <c r="K18" s="26" t="str">
        <f t="shared" si="0"/>
        <v/>
      </c>
      <c r="L18" s="26">
        <f>beneficiaires!J17</f>
        <v>50</v>
      </c>
      <c r="M18" s="30" t="str">
        <f ca="1">IF(COUNTIF(planning_general!D$4:D$104,$D18),INDIRECT("'planning_general'!AH"&amp;MATCH($D18,planning_general!D$4:D$104,0)+4-1),"")</f>
        <v>Production</v>
      </c>
      <c r="N18" s="30" t="str">
        <f ca="1">IF(COUNTIF(planning_general!E$4:E$104,$D18),INDIRECT("'planning_general'!AI"&amp;MATCH($D18,planning_general!E$4:E$104,0)+4-1),"")</f>
        <v/>
      </c>
      <c r="O18" s="30" t="str">
        <f ca="1">IF(COUNTIF(planning_general!F$4:F$104,$D18),INDIRECT("'planning_general'!AJ"&amp;MATCH($D18,planning_general!F$4:F$104,0)+4-1),"")</f>
        <v/>
      </c>
      <c r="P18" s="30" t="str">
        <f ca="1">IF(COUNTIF(planning_general!G$4:G$104,$D18),INDIRECT("'planning_general'!AK"&amp;MATCH($D18,planning_general!G$4:G$104,0)+4-1),"")</f>
        <v/>
      </c>
      <c r="Q18" s="30" t="str">
        <f ca="1">IF(COUNTIF(planning_general!H$4:H$104,$D18),INDIRECT("'planning_general'!AL"&amp;MATCH($D18,planning_general!H$4:H$104,0)+4-1),"")</f>
        <v>Production</v>
      </c>
      <c r="R18" s="30" t="str">
        <f ca="1">IF(COUNTIF(planning_general!I$4:I$104,$D18),INDIRECT("'planning_general'!AM"&amp;MATCH($D18,planning_general!I$4:I$104,0)+4-1),"")</f>
        <v/>
      </c>
      <c r="S18" s="30" t="str">
        <f ca="1">IF(COUNTIF(planning_general!J$4:J$104,$D18),INDIRECT("'planning_general'!AN"&amp;MATCH($D18,planning_general!J$4:J$104,0)+4-1),"")</f>
        <v>Production</v>
      </c>
      <c r="T18" s="30" t="str">
        <f ca="1">IF(COUNTIF(planning_general!K$4:K$104,$D18),INDIRECT("'planning_general'!AO"&amp;MATCH($D18,planning_general!K$4:K$104,0)+4-1),"")</f>
        <v/>
      </c>
      <c r="U18" s="30" t="str">
        <f ca="1">IF(COUNTIF(planning_general!L$4:L$104,$D18),INDIRECT("'planning_general'!AP"&amp;MATCH($D18,planning_general!L$4:L$104,0)+4-1),"")</f>
        <v>Production</v>
      </c>
      <c r="V18" s="30" t="str">
        <f ca="1">IF(COUNTIF(planning_general!M$4:M$104,$D18),INDIRECT("'planning_general'!AQ"&amp;MATCH($D18,planning_general!M$4:M$104,0)+4-1),"")</f>
        <v/>
      </c>
      <c r="W18" s="30" t="str">
        <f ca="1">IF(COUNTIF(planning_general!N$4:N$104,$D18),INDIRECT("'planning_general'!AR"&amp;MATCH($D18,planning_general!N$4:N$104,0)+4-1),"")</f>
        <v/>
      </c>
      <c r="X18" s="30" t="str">
        <f ca="1">IF(COUNTIF(planning_general!O$4:O$104,$D18),INDIRECT("'planning_general'!AS"&amp;MATCH($D18,planning_general!O$4:O$104,0)+4-1),"")</f>
        <v/>
      </c>
      <c r="Y18" s="30" t="str">
        <f ca="1">IF(COUNTIF(planning_general!P$4:P$104,$D18),INDIRECT("'planning_general'!AT"&amp;MATCH($D18,planning_general!P$4:P$104,0)+4-1),"")</f>
        <v>Production</v>
      </c>
      <c r="Z18" s="30" t="str">
        <f ca="1">IF(COUNTIF(planning_general!Q$4:Q$104,$D18),INDIRECT("'planning_general'!AU"&amp;MATCH($D18,planning_general!Q$4:Q$104,0)+4-1),"")</f>
        <v/>
      </c>
      <c r="AA18" s="30" t="str">
        <f ca="1">IF(COUNTIF(planning_general!R$4:R$104,$D18),INDIRECT("'planning_general'!AV"&amp;MATCH($D18,planning_general!R$4:R$104,0)+4-1),"")</f>
        <v/>
      </c>
      <c r="AB18" s="30" t="str">
        <f ca="1">IF(COUNTIF(planning_general!S$4:S$104,$D18),INDIRECT("'planning_general'!AW"&amp;MATCH($D18,planning_general!S$4:S$104,0)+4-1),"")</f>
        <v/>
      </c>
      <c r="AC18" s="30" t="str">
        <f ca="1">IF(COUNTIF(planning_general!T$4:T$104,$D18),INDIRECT("'planning_general'!AX"&amp;MATCH($D18,planning_general!T$4:T$104,0)+4-1),"")</f>
        <v/>
      </c>
      <c r="AD18" s="30" t="str">
        <f ca="1">IF(COUNTIF(planning_general!U$4:U$104,$D18),INDIRECT("'planning_general'!AY"&amp;MATCH($D18,planning_general!U$4:U$104,0)+4-1),"")</f>
        <v/>
      </c>
      <c r="AE18" s="30" t="str">
        <f ca="1">IF(COUNTIF(planning_general!V$4:V$104,$D18),INDIRECT("'planning_general'!AZ"&amp;MATCH($D18,planning_general!V$4:V$104,0)+4-1),"")</f>
        <v/>
      </c>
      <c r="AF18" s="30" t="str">
        <f ca="1">IF(COUNTIF(planning_general!W$4:W$104,$D18),INDIRECT("'planning_general'!BA"&amp;MATCH($D18,planning_general!W$4:W$104,0)+4-1),"")</f>
        <v/>
      </c>
      <c r="AG18" s="30" t="str">
        <f ca="1">IF(COUNTIF(planning_general!X$4:X$104,$D18),INDIRECT("'planning_general'!BB"&amp;MATCH($D18,planning_general!X$4:X$104,0)+4-1),"")</f>
        <v/>
      </c>
      <c r="AH18" s="30" t="str">
        <f ca="1">IF(COUNTIF(planning_general!Y$4:Y$104,$D18),INDIRECT("'planning_general'!BC"&amp;MATCH($D18,planning_general!Y$4:Y$104,0)+4-1),"")</f>
        <v/>
      </c>
      <c r="AI18" s="30" t="str">
        <f ca="1">IF(COUNTIF(planning_general!Z$4:Z$104,$D18),INDIRECT("'planning_general'!BD"&amp;MATCH($D18,planning_general!Z$4:Z$104,0)+4-1),"")</f>
        <v/>
      </c>
      <c r="AJ18" s="30" t="str">
        <f ca="1">IF(COUNTIF(planning_general!AA$4:AA$104,$D18),INDIRECT("'planning_general'!BE"&amp;MATCH($D18,planning_general!AA$4:AA$104,0)+4-1),"")</f>
        <v/>
      </c>
      <c r="AK18" s="30" t="str">
        <f ca="1">IF(COUNTIF(planning_general!AB$4:AB$104,$D18),INDIRECT("'planning_general'!BF"&amp;MATCH($D18,planning_general!AB$4:AB$104,0)+4-1),"")</f>
        <v/>
      </c>
      <c r="AL18" s="30" t="str">
        <f ca="1">IF(COUNTIF(planning_general!AC$4:AC$104,$D18),INDIRECT("'planning_general'!BG"&amp;MATCH($D18,planning_general!AC$4:AC$104,0)+4-1),"")</f>
        <v/>
      </c>
      <c r="AM18" s="30" t="str">
        <f ca="1">IF(COUNTIF(planning_general!AD$4:AD$104,$D18),INDIRECT("'planning_general'!BH"&amp;MATCH($D18,planning_general!AD$4:AD$104,0)+4-1),"")</f>
        <v/>
      </c>
      <c r="AN18" s="30" t="str">
        <f ca="1">IF(COUNTIF(planning_general!AE$4:AE$104,$D18),INDIRECT("'planning_general'!BI"&amp;MATCH($D18,planning_general!AE$4:AE$104,0)+4-1),"")</f>
        <v/>
      </c>
    </row>
    <row r="19" spans="1:40" ht="34.950000000000003" customHeight="1" x14ac:dyDescent="0.35">
      <c r="A19" s="35">
        <f>beneficiaires!$A18</f>
        <v>17</v>
      </c>
      <c r="B19" s="28" t="str">
        <f>beneficiaires!B18</f>
        <v>Hatt</v>
      </c>
      <c r="C19" s="28" t="str">
        <f>beneficiaires!C18</f>
        <v>Christian</v>
      </c>
      <c r="D19" s="29" t="str">
        <f>beneficiaires!D18</f>
        <v>Christian_Hatt</v>
      </c>
      <c r="E19" s="29" t="str">
        <f>beneficiaires!E18</f>
        <v>Hatt_Christian</v>
      </c>
      <c r="F19" s="26">
        <f t="shared" si="0"/>
        <v>1</v>
      </c>
      <c r="G19" s="26" t="str">
        <f t="shared" si="0"/>
        <v/>
      </c>
      <c r="H19" s="26" t="str">
        <f t="shared" si="0"/>
        <v/>
      </c>
      <c r="I19" s="26" t="str">
        <f t="shared" si="0"/>
        <v/>
      </c>
      <c r="J19" s="26" t="str">
        <f t="shared" si="0"/>
        <v/>
      </c>
      <c r="K19" s="26" t="str">
        <f t="shared" si="0"/>
        <v/>
      </c>
      <c r="L19" s="26">
        <f>beneficiaires!J18</f>
        <v>50</v>
      </c>
      <c r="M19" s="30" t="str">
        <f ca="1">IF(COUNTIF(planning_general!D$4:D$104,$D19),INDIRECT("'planning_general'!AH"&amp;MATCH($D19,planning_general!D$4:D$104,0)+4-1),"")</f>
        <v>Production</v>
      </c>
      <c r="N19" s="30" t="str">
        <f ca="1">IF(COUNTIF(planning_general!E$4:E$104,$D19),INDIRECT("'planning_general'!AI"&amp;MATCH($D19,planning_general!E$4:E$104,0)+4-1),"")</f>
        <v/>
      </c>
      <c r="O19" s="30" t="str">
        <f ca="1">IF(COUNTIF(planning_general!F$4:F$104,$D19),INDIRECT("'planning_general'!AJ"&amp;MATCH($D19,planning_general!F$4:F$104,0)+4-1),"")</f>
        <v/>
      </c>
      <c r="P19" s="30" t="str">
        <f ca="1">IF(COUNTIF(planning_general!G$4:G$104,$D19),INDIRECT("'planning_general'!AK"&amp;MATCH($D19,planning_general!G$4:G$104,0)+4-1),"")</f>
        <v/>
      </c>
      <c r="Q19" s="30" t="str">
        <f ca="1">IF(COUNTIF(planning_general!H$4:H$104,$D19),INDIRECT("'planning_general'!AL"&amp;MATCH($D19,planning_general!H$4:H$104,0)+4-1),"")</f>
        <v>Production</v>
      </c>
      <c r="R19" s="30" t="str">
        <f ca="1">IF(COUNTIF(planning_general!I$4:I$104,$D19),INDIRECT("'planning_general'!AM"&amp;MATCH($D19,planning_general!I$4:I$104,0)+4-1),"")</f>
        <v/>
      </c>
      <c r="S19" s="30" t="str">
        <f ca="1">IF(COUNTIF(planning_general!J$4:J$104,$D19),INDIRECT("'planning_general'!AN"&amp;MATCH($D19,planning_general!J$4:J$104,0)+4-1),"")</f>
        <v/>
      </c>
      <c r="T19" s="30" t="str">
        <f ca="1">IF(COUNTIF(planning_general!K$4:K$104,$D19),INDIRECT("'planning_general'!AO"&amp;MATCH($D19,planning_general!K$4:K$104,0)+4-1),"")</f>
        <v/>
      </c>
      <c r="U19" s="30" t="str">
        <f ca="1">IF(COUNTIF(planning_general!L$4:L$104,$D19),INDIRECT("'planning_general'!AP"&amp;MATCH($D19,planning_general!L$4:L$104,0)+4-1),"")</f>
        <v>Production</v>
      </c>
      <c r="V19" s="30" t="str">
        <f ca="1">IF(COUNTIF(planning_general!M$4:M$104,$D19),INDIRECT("'planning_general'!AQ"&amp;MATCH($D19,planning_general!M$4:M$104,0)+4-1),"")</f>
        <v/>
      </c>
      <c r="W19" s="30" t="str">
        <f ca="1">IF(COUNTIF(planning_general!N$4:N$104,$D19),INDIRECT("'planning_general'!AR"&amp;MATCH($D19,planning_general!N$4:N$104,0)+4-1),"")</f>
        <v/>
      </c>
      <c r="X19" s="30" t="str">
        <f ca="1">IF(COUNTIF(planning_general!O$4:O$104,$D19),INDIRECT("'planning_general'!AS"&amp;MATCH($D19,planning_general!O$4:O$104,0)+4-1),"")</f>
        <v/>
      </c>
      <c r="Y19" s="30" t="str">
        <f ca="1">IF(COUNTIF(planning_general!P$4:P$104,$D19),INDIRECT("'planning_general'!AT"&amp;MATCH($D19,planning_general!P$4:P$104,0)+4-1),"")</f>
        <v>Production</v>
      </c>
      <c r="Z19" s="30" t="str">
        <f ca="1">IF(COUNTIF(planning_general!Q$4:Q$104,$D19),INDIRECT("'planning_general'!AU"&amp;MATCH($D19,planning_general!Q$4:Q$104,0)+4-1),"")</f>
        <v/>
      </c>
      <c r="AA19" s="30" t="str">
        <f ca="1">IF(COUNTIF(planning_general!R$4:R$104,$D19),INDIRECT("'planning_general'!AV"&amp;MATCH($D19,planning_general!R$4:R$104,0)+4-1),"")</f>
        <v/>
      </c>
      <c r="AB19" s="30" t="str">
        <f ca="1">IF(COUNTIF(planning_general!S$4:S$104,$D19),INDIRECT("'planning_general'!AW"&amp;MATCH($D19,planning_general!S$4:S$104,0)+4-1),"")</f>
        <v/>
      </c>
      <c r="AC19" s="30" t="str">
        <f ca="1">IF(COUNTIF(planning_general!T$4:T$104,$D19),INDIRECT("'planning_general'!AX"&amp;MATCH($D19,planning_general!T$4:T$104,0)+4-1),"")</f>
        <v>Production</v>
      </c>
      <c r="AD19" s="30" t="str">
        <f ca="1">IF(COUNTIF(planning_general!U$4:U$104,$D19),INDIRECT("'planning_general'!AY"&amp;MATCH($D19,planning_general!U$4:U$104,0)+4-1),"")</f>
        <v/>
      </c>
      <c r="AE19" s="30" t="str">
        <f ca="1">IF(COUNTIF(planning_general!V$4:V$104,$D19),INDIRECT("'planning_general'!AZ"&amp;MATCH($D19,planning_general!V$4:V$104,0)+4-1),"")</f>
        <v/>
      </c>
      <c r="AF19" s="30" t="str">
        <f ca="1">IF(COUNTIF(planning_general!W$4:W$104,$D19),INDIRECT("'planning_general'!BA"&amp;MATCH($D19,planning_general!W$4:W$104,0)+4-1),"")</f>
        <v/>
      </c>
      <c r="AG19" s="30" t="str">
        <f ca="1">IF(COUNTIF(planning_general!X$4:X$104,$D19),INDIRECT("'planning_general'!BB"&amp;MATCH($D19,planning_general!X$4:X$104,0)+4-1),"")</f>
        <v/>
      </c>
      <c r="AH19" s="30" t="str">
        <f ca="1">IF(COUNTIF(planning_general!Y$4:Y$104,$D19),INDIRECT("'planning_general'!BC"&amp;MATCH($D19,planning_general!Y$4:Y$104,0)+4-1),"")</f>
        <v/>
      </c>
      <c r="AI19" s="30" t="str">
        <f ca="1">IF(COUNTIF(planning_general!Z$4:Z$104,$D19),INDIRECT("'planning_general'!BD"&amp;MATCH($D19,planning_general!Z$4:Z$104,0)+4-1),"")</f>
        <v/>
      </c>
      <c r="AJ19" s="30" t="str">
        <f ca="1">IF(COUNTIF(planning_general!AA$4:AA$104,$D19),INDIRECT("'planning_general'!BE"&amp;MATCH($D19,planning_general!AA$4:AA$104,0)+4-1),"")</f>
        <v/>
      </c>
      <c r="AK19" s="30" t="str">
        <f ca="1">IF(COUNTIF(planning_general!AB$4:AB$104,$D19),INDIRECT("'planning_general'!BF"&amp;MATCH($D19,planning_general!AB$4:AB$104,0)+4-1),"")</f>
        <v/>
      </c>
      <c r="AL19" s="30" t="str">
        <f ca="1">IF(COUNTIF(planning_general!AC$4:AC$104,$D19),INDIRECT("'planning_general'!BG"&amp;MATCH($D19,planning_general!AC$4:AC$104,0)+4-1),"")</f>
        <v/>
      </c>
      <c r="AM19" s="30" t="str">
        <f ca="1">IF(COUNTIF(planning_general!AD$4:AD$104,$D19),INDIRECT("'planning_general'!BH"&amp;MATCH($D19,planning_general!AD$4:AD$104,0)+4-1),"")</f>
        <v/>
      </c>
      <c r="AN19" s="30" t="str">
        <f ca="1">IF(COUNTIF(planning_general!AE$4:AE$104,$D19),INDIRECT("'planning_general'!BI"&amp;MATCH($D19,planning_general!AE$4:AE$104,0)+4-1),"")</f>
        <v/>
      </c>
    </row>
    <row r="20" spans="1:40" ht="34.950000000000003" customHeight="1" x14ac:dyDescent="0.35">
      <c r="A20" s="35">
        <f>beneficiaires!$A19</f>
        <v>18</v>
      </c>
      <c r="B20" s="28" t="str">
        <f>beneficiaires!B19</f>
        <v>Junod</v>
      </c>
      <c r="C20" s="28" t="str">
        <f>beneficiaires!C19</f>
        <v>Sophie</v>
      </c>
      <c r="D20" s="29" t="str">
        <f>beneficiaires!D19</f>
        <v>Sophie_Junod</v>
      </c>
      <c r="E20" s="29" t="str">
        <f>beneficiaires!E19</f>
        <v>Junod_Sophie</v>
      </c>
      <c r="F20" s="26" t="str">
        <f t="shared" si="0"/>
        <v/>
      </c>
      <c r="G20" s="26">
        <f t="shared" si="0"/>
        <v>1</v>
      </c>
      <c r="H20" s="26" t="str">
        <f t="shared" si="0"/>
        <v/>
      </c>
      <c r="I20" s="26" t="str">
        <f t="shared" si="0"/>
        <v/>
      </c>
      <c r="J20" s="26" t="str">
        <f t="shared" si="0"/>
        <v/>
      </c>
      <c r="K20" s="26" t="str">
        <f t="shared" si="0"/>
        <v/>
      </c>
      <c r="L20" s="26">
        <f>beneficiaires!J19</f>
        <v>50</v>
      </c>
      <c r="M20" s="30" t="str">
        <f ca="1">IF(COUNTIF(planning_general!D$4:D$104,$D20),INDIRECT("'planning_general'!AH"&amp;MATCH($D20,planning_general!D$4:D$104,0)+4-1),"")</f>
        <v/>
      </c>
      <c r="N20" s="30" t="str">
        <f ca="1">IF(COUNTIF(planning_general!E$4:E$104,$D20),INDIRECT("'planning_general'!AI"&amp;MATCH($D20,planning_general!E$4:E$104,0)+4-1),"")</f>
        <v/>
      </c>
      <c r="O20" s="30" t="str">
        <f ca="1">IF(COUNTIF(planning_general!F$4:F$104,$D20),INDIRECT("'planning_general'!AJ"&amp;MATCH($D20,planning_general!F$4:F$104,0)+4-1),"")</f>
        <v/>
      </c>
      <c r="P20" s="30" t="str">
        <f ca="1">IF(COUNTIF(planning_general!G$4:G$104,$D20),INDIRECT("'planning_general'!AK"&amp;MATCH($D20,planning_general!G$4:G$104,0)+4-1),"")</f>
        <v/>
      </c>
      <c r="Q20" s="30" t="str">
        <f ca="1">IF(COUNTIF(planning_general!H$4:H$104,$D20),INDIRECT("'planning_general'!AL"&amp;MATCH($D20,planning_general!H$4:H$104,0)+4-1),"")</f>
        <v>Réception</v>
      </c>
      <c r="R20" s="30" t="str">
        <f ca="1">IF(COUNTIF(planning_general!I$4:I$104,$D20),INDIRECT("'planning_general'!AM"&amp;MATCH($D20,planning_general!I$4:I$104,0)+4-1),"")</f>
        <v/>
      </c>
      <c r="S20" s="30" t="str">
        <f ca="1">IF(COUNTIF(planning_general!J$4:J$104,$D20),INDIRECT("'planning_general'!AN"&amp;MATCH($D20,planning_general!J$4:J$104,0)+4-1),"")</f>
        <v>Réception</v>
      </c>
      <c r="T20" s="30" t="str">
        <f ca="1">IF(COUNTIF(planning_general!K$4:K$104,$D20),INDIRECT("'planning_general'!AO"&amp;MATCH($D20,planning_general!K$4:K$104,0)+4-1),"")</f>
        <v/>
      </c>
      <c r="U20" s="30" t="str">
        <f ca="1">IF(COUNTIF(planning_general!L$4:L$104,$D20),INDIRECT("'planning_general'!AP"&amp;MATCH($D20,planning_general!L$4:L$104,0)+4-1),"")</f>
        <v>Réception</v>
      </c>
      <c r="V20" s="30" t="str">
        <f ca="1">IF(COUNTIF(planning_general!M$4:M$104,$D20),INDIRECT("'planning_general'!AQ"&amp;MATCH($D20,planning_general!M$4:M$104,0)+4-1),"")</f>
        <v/>
      </c>
      <c r="W20" s="30" t="str">
        <f ca="1">IF(COUNTIF(planning_general!N$4:N$104,$D20),INDIRECT("'planning_general'!AR"&amp;MATCH($D20,planning_general!N$4:N$104,0)+4-1),"")</f>
        <v>Réception</v>
      </c>
      <c r="X20" s="30" t="str">
        <f ca="1">IF(COUNTIF(planning_general!O$4:O$104,$D20),INDIRECT("'planning_general'!AS"&amp;MATCH($D20,planning_general!O$4:O$104,0)+4-1),"")</f>
        <v/>
      </c>
      <c r="Y20" s="30" t="str">
        <f ca="1">IF(COUNTIF(planning_general!P$4:P$104,$D20),INDIRECT("'planning_general'!AT"&amp;MATCH($D20,planning_general!P$4:P$104,0)+4-1),"")</f>
        <v>Réception</v>
      </c>
      <c r="Z20" s="30" t="str">
        <f ca="1">IF(COUNTIF(planning_general!Q$4:Q$104,$D20),INDIRECT("'planning_general'!AU"&amp;MATCH($D20,planning_general!Q$4:Q$104,0)+4-1),"")</f>
        <v/>
      </c>
      <c r="AA20" s="30" t="str">
        <f ca="1">IF(COUNTIF(planning_general!R$4:R$104,$D20),INDIRECT("'planning_general'!AV"&amp;MATCH($D20,planning_general!R$4:R$104,0)+4-1),"")</f>
        <v/>
      </c>
      <c r="AB20" s="30" t="str">
        <f ca="1">IF(COUNTIF(planning_general!S$4:S$104,$D20),INDIRECT("'planning_general'!AW"&amp;MATCH($D20,planning_general!S$4:S$104,0)+4-1),"")</f>
        <v/>
      </c>
      <c r="AC20" s="30" t="str">
        <f ca="1">IF(COUNTIF(planning_general!T$4:T$104,$D20),INDIRECT("'planning_general'!AX"&amp;MATCH($D20,planning_general!T$4:T$104,0)+4-1),"")</f>
        <v/>
      </c>
      <c r="AD20" s="30" t="str">
        <f ca="1">IF(COUNTIF(planning_general!U$4:U$104,$D20),INDIRECT("'planning_general'!AY"&amp;MATCH($D20,planning_general!U$4:U$104,0)+4-1),"")</f>
        <v/>
      </c>
      <c r="AE20" s="30" t="str">
        <f ca="1">IF(COUNTIF(planning_general!V$4:V$104,$D20),INDIRECT("'planning_general'!AZ"&amp;MATCH($D20,planning_general!V$4:V$104,0)+4-1),"")</f>
        <v/>
      </c>
      <c r="AF20" s="30" t="str">
        <f ca="1">IF(COUNTIF(planning_general!W$4:W$104,$D20),INDIRECT("'planning_general'!BA"&amp;MATCH($D20,planning_general!W$4:W$104,0)+4-1),"")</f>
        <v/>
      </c>
      <c r="AG20" s="30" t="str">
        <f ca="1">IF(COUNTIF(planning_general!X$4:X$104,$D20),INDIRECT("'planning_general'!BB"&amp;MATCH($D20,planning_general!X$4:X$104,0)+4-1),"")</f>
        <v/>
      </c>
      <c r="AH20" s="30" t="str">
        <f ca="1">IF(COUNTIF(planning_general!Y$4:Y$104,$D20),INDIRECT("'planning_general'!BC"&amp;MATCH($D20,planning_general!Y$4:Y$104,0)+4-1),"")</f>
        <v/>
      </c>
      <c r="AI20" s="30" t="str">
        <f ca="1">IF(COUNTIF(planning_general!Z$4:Z$104,$D20),INDIRECT("'planning_general'!BD"&amp;MATCH($D20,planning_general!Z$4:Z$104,0)+4-1),"")</f>
        <v/>
      </c>
      <c r="AJ20" s="30" t="str">
        <f ca="1">IF(COUNTIF(planning_general!AA$4:AA$104,$D20),INDIRECT("'planning_general'!BE"&amp;MATCH($D20,planning_general!AA$4:AA$104,0)+4-1),"")</f>
        <v/>
      </c>
      <c r="AK20" s="30" t="str">
        <f ca="1">IF(COUNTIF(planning_general!AB$4:AB$104,$D20),INDIRECT("'planning_general'!BF"&amp;MATCH($D20,planning_general!AB$4:AB$104,0)+4-1),"")</f>
        <v/>
      </c>
      <c r="AL20" s="30" t="str">
        <f ca="1">IF(COUNTIF(planning_general!AC$4:AC$104,$D20),INDIRECT("'planning_general'!BG"&amp;MATCH($D20,planning_general!AC$4:AC$104,0)+4-1),"")</f>
        <v/>
      </c>
      <c r="AM20" s="30" t="str">
        <f ca="1">IF(COUNTIF(planning_general!AD$4:AD$104,$D20),INDIRECT("'planning_general'!BH"&amp;MATCH($D20,planning_general!AD$4:AD$104,0)+4-1),"")</f>
        <v/>
      </c>
      <c r="AN20" s="30" t="str">
        <f ca="1">IF(COUNTIF(planning_general!AE$4:AE$104,$D20),INDIRECT("'planning_general'!BI"&amp;MATCH($D20,planning_general!AE$4:AE$104,0)+4-1),"")</f>
        <v/>
      </c>
    </row>
    <row r="21" spans="1:40" ht="34.950000000000003" customHeight="1" x14ac:dyDescent="0.35">
      <c r="A21" s="35">
        <f>beneficiaires!$A20</f>
        <v>19</v>
      </c>
      <c r="B21" s="28" t="str">
        <f>beneficiaires!B20</f>
        <v>Kavanagh</v>
      </c>
      <c r="C21" s="28" t="str">
        <f>beneficiaires!C20</f>
        <v>Daisy</v>
      </c>
      <c r="D21" s="29" t="str">
        <f>beneficiaires!D20</f>
        <v>Daisy_Kavanagh</v>
      </c>
      <c r="E21" s="29" t="str">
        <f>beneficiaires!E20</f>
        <v>Kavanagh_Daisy</v>
      </c>
      <c r="F21" s="26">
        <f t="shared" si="0"/>
        <v>1</v>
      </c>
      <c r="G21" s="26" t="str">
        <f t="shared" si="0"/>
        <v/>
      </c>
      <c r="H21" s="26" t="str">
        <f t="shared" si="0"/>
        <v/>
      </c>
      <c r="I21" s="26" t="str">
        <f t="shared" si="0"/>
        <v/>
      </c>
      <c r="J21" s="26" t="str">
        <f t="shared" si="0"/>
        <v/>
      </c>
      <c r="K21" s="26" t="str">
        <f t="shared" si="0"/>
        <v/>
      </c>
      <c r="L21" s="26">
        <f>beneficiaires!J20</f>
        <v>30</v>
      </c>
      <c r="M21" s="30" t="str">
        <f ca="1">IF(COUNTIF(planning_general!D$4:D$104,$D21),INDIRECT("'planning_general'!AH"&amp;MATCH($D21,planning_general!D$4:D$104,0)+4-1),"")</f>
        <v/>
      </c>
      <c r="N21" s="30" t="str">
        <f ca="1">IF(COUNTIF(planning_general!E$4:E$104,$D21),INDIRECT("'planning_general'!AI"&amp;MATCH($D21,planning_general!E$4:E$104,0)+4-1),"")</f>
        <v/>
      </c>
      <c r="O21" s="30" t="str">
        <f ca="1">IF(COUNTIF(planning_general!F$4:F$104,$D21),INDIRECT("'planning_general'!AJ"&amp;MATCH($D21,planning_general!F$4:F$104,0)+4-1),"")</f>
        <v>REA</v>
      </c>
      <c r="P21" s="30" t="str">
        <f ca="1">IF(COUNTIF(planning_general!G$4:G$104,$D21),INDIRECT("'planning_general'!AK"&amp;MATCH($D21,planning_general!G$4:G$104,0)+4-1),"")</f>
        <v/>
      </c>
      <c r="Q21" s="30" t="str">
        <f ca="1">IF(COUNTIF(planning_general!H$4:H$104,$D21),INDIRECT("'planning_general'!AL"&amp;MATCH($D21,planning_general!H$4:H$104,0)+4-1),"")</f>
        <v/>
      </c>
      <c r="R21" s="30" t="str">
        <f ca="1">IF(COUNTIF(planning_general!I$4:I$104,$D21),INDIRECT("'planning_general'!AM"&amp;MATCH($D21,planning_general!I$4:I$104,0)+4-1),"")</f>
        <v/>
      </c>
      <c r="S21" s="30" t="str">
        <f ca="1">IF(COUNTIF(planning_general!J$4:J$104,$D21),INDIRECT("'planning_general'!AN"&amp;MATCH($D21,planning_general!J$4:J$104,0)+4-1),"")</f>
        <v/>
      </c>
      <c r="T21" s="30" t="str">
        <f ca="1">IF(COUNTIF(planning_general!K$4:K$104,$D21),INDIRECT("'planning_general'!AO"&amp;MATCH($D21,planning_general!K$4:K$104,0)+4-1),"")</f>
        <v/>
      </c>
      <c r="U21" s="30" t="str">
        <f ca="1">IF(COUNTIF(planning_general!L$4:L$104,$D21),INDIRECT("'planning_general'!AP"&amp;MATCH($D21,planning_general!L$4:L$104,0)+4-1),"")</f>
        <v>Production</v>
      </c>
      <c r="V21" s="30" t="str">
        <f ca="1">IF(COUNTIF(planning_general!M$4:M$104,$D21),INDIRECT("'planning_general'!AQ"&amp;MATCH($D21,planning_general!M$4:M$104,0)+4-1),"")</f>
        <v/>
      </c>
      <c r="W21" s="30" t="str">
        <f ca="1">IF(COUNTIF(planning_general!N$4:N$104,$D21),INDIRECT("'planning_general'!AR"&amp;MATCH($D21,planning_general!N$4:N$104,0)+4-1),"")</f>
        <v/>
      </c>
      <c r="X21" s="30" t="str">
        <f ca="1">IF(COUNTIF(planning_general!O$4:O$104,$D21),INDIRECT("'planning_general'!AS"&amp;MATCH($D21,planning_general!O$4:O$104,0)+4-1),"")</f>
        <v/>
      </c>
      <c r="Y21" s="30" t="str">
        <f ca="1">IF(COUNTIF(planning_general!P$4:P$104,$D21),INDIRECT("'planning_general'!AT"&amp;MATCH($D21,planning_general!P$4:P$104,0)+4-1),"")</f>
        <v/>
      </c>
      <c r="Z21" s="30" t="str">
        <f ca="1">IF(COUNTIF(planning_general!Q$4:Q$104,$D21),INDIRECT("'planning_general'!AU"&amp;MATCH($D21,planning_general!Q$4:Q$104,0)+4-1),"")</f>
        <v/>
      </c>
      <c r="AA21" s="30" t="str">
        <f ca="1">IF(COUNTIF(planning_general!R$4:R$104,$D21),INDIRECT("'planning_general'!AV"&amp;MATCH($D21,planning_general!R$4:R$104,0)+4-1),"")</f>
        <v/>
      </c>
      <c r="AB21" s="30" t="str">
        <f ca="1">IF(COUNTIF(planning_general!S$4:S$104,$D21),INDIRECT("'planning_general'!AW"&amp;MATCH($D21,planning_general!S$4:S$104,0)+4-1),"")</f>
        <v/>
      </c>
      <c r="AC21" s="30" t="str">
        <f ca="1">IF(COUNTIF(planning_general!T$4:T$104,$D21),INDIRECT("'planning_general'!AX"&amp;MATCH($D21,planning_general!T$4:T$104,0)+4-1),"")</f>
        <v>Production</v>
      </c>
      <c r="AD21" s="30" t="str">
        <f ca="1">IF(COUNTIF(planning_general!U$4:U$104,$D21),INDIRECT("'planning_general'!AY"&amp;MATCH($D21,planning_general!U$4:U$104,0)+4-1),"")</f>
        <v/>
      </c>
      <c r="AE21" s="30" t="str">
        <f ca="1">IF(COUNTIF(planning_general!V$4:V$104,$D21),INDIRECT("'planning_general'!AZ"&amp;MATCH($D21,planning_general!V$4:V$104,0)+4-1),"")</f>
        <v/>
      </c>
      <c r="AF21" s="30" t="str">
        <f ca="1">IF(COUNTIF(planning_general!W$4:W$104,$D21),INDIRECT("'planning_general'!BA"&amp;MATCH($D21,planning_general!W$4:W$104,0)+4-1),"")</f>
        <v/>
      </c>
      <c r="AG21" s="30" t="str">
        <f ca="1">IF(COUNTIF(planning_general!X$4:X$104,$D21),INDIRECT("'planning_general'!BB"&amp;MATCH($D21,planning_general!X$4:X$104,0)+4-1),"")</f>
        <v/>
      </c>
      <c r="AH21" s="30" t="str">
        <f ca="1">IF(COUNTIF(planning_general!Y$4:Y$104,$D21),INDIRECT("'planning_general'!BC"&amp;MATCH($D21,planning_general!Y$4:Y$104,0)+4-1),"")</f>
        <v/>
      </c>
      <c r="AI21" s="30" t="str">
        <f ca="1">IF(COUNTIF(planning_general!Z$4:Z$104,$D21),INDIRECT("'planning_general'!BD"&amp;MATCH($D21,planning_general!Z$4:Z$104,0)+4-1),"")</f>
        <v/>
      </c>
      <c r="AJ21" s="30" t="str">
        <f ca="1">IF(COUNTIF(planning_general!AA$4:AA$104,$D21),INDIRECT("'planning_general'!BE"&amp;MATCH($D21,planning_general!AA$4:AA$104,0)+4-1),"")</f>
        <v/>
      </c>
      <c r="AK21" s="30" t="str">
        <f ca="1">IF(COUNTIF(planning_general!AB$4:AB$104,$D21),INDIRECT("'planning_general'!BF"&amp;MATCH($D21,planning_general!AB$4:AB$104,0)+4-1),"")</f>
        <v/>
      </c>
      <c r="AL21" s="30" t="str">
        <f ca="1">IF(COUNTIF(planning_general!AC$4:AC$104,$D21),INDIRECT("'planning_general'!BG"&amp;MATCH($D21,planning_general!AC$4:AC$104,0)+4-1),"")</f>
        <v/>
      </c>
      <c r="AM21" s="30" t="str">
        <f ca="1">IF(COUNTIF(planning_general!AD$4:AD$104,$D21),INDIRECT("'planning_general'!BH"&amp;MATCH($D21,planning_general!AD$4:AD$104,0)+4-1),"")</f>
        <v/>
      </c>
      <c r="AN21" s="30" t="str">
        <f ca="1">IF(COUNTIF(planning_general!AE$4:AE$104,$D21),INDIRECT("'planning_general'!BI"&amp;MATCH($D21,planning_general!AE$4:AE$104,0)+4-1),"")</f>
        <v/>
      </c>
    </row>
    <row r="22" spans="1:40" ht="34.950000000000003" customHeight="1" x14ac:dyDescent="0.35">
      <c r="A22" s="35">
        <f>beneficiaires!$A21</f>
        <v>20</v>
      </c>
      <c r="B22" s="28" t="str">
        <f>beneficiaires!B21</f>
        <v>Liégeois</v>
      </c>
      <c r="C22" s="28" t="str">
        <f>beneficiaires!C21</f>
        <v>Eric</v>
      </c>
      <c r="D22" s="29" t="str">
        <f>beneficiaires!D21</f>
        <v>Eric_Liégeois</v>
      </c>
      <c r="E22" s="29" t="str">
        <f>beneficiaires!E21</f>
        <v>Liégeois_Eric</v>
      </c>
      <c r="F22" s="26" t="str">
        <f t="shared" si="0"/>
        <v/>
      </c>
      <c r="G22" s="26" t="str">
        <f t="shared" si="0"/>
        <v/>
      </c>
      <c r="H22" s="26">
        <f t="shared" si="0"/>
        <v>1</v>
      </c>
      <c r="I22" s="26" t="str">
        <f t="shared" si="0"/>
        <v/>
      </c>
      <c r="J22" s="26" t="str">
        <f t="shared" si="0"/>
        <v/>
      </c>
      <c r="K22" s="26" t="str">
        <f t="shared" si="0"/>
        <v/>
      </c>
      <c r="L22" s="26">
        <f>beneficiaires!J21</f>
        <v>40</v>
      </c>
      <c r="M22" s="30" t="str">
        <f ca="1">IF(COUNTIF(planning_general!D$4:D$104,$D22),INDIRECT("'planning_general'!AH"&amp;MATCH($D22,planning_general!D$4:D$104,0)+4-1),"")</f>
        <v/>
      </c>
      <c r="N22" s="30" t="str">
        <f ca="1">IF(COUNTIF(planning_general!E$4:E$104,$D22),INDIRECT("'planning_general'!AI"&amp;MATCH($D22,planning_general!E$4:E$104,0)+4-1),"")</f>
        <v/>
      </c>
      <c r="O22" s="30" t="str">
        <f ca="1">IF(COUNTIF(planning_general!F$4:F$104,$D22),INDIRECT("'planning_general'!AJ"&amp;MATCH($D22,planning_general!F$4:F$104,0)+4-1),"")</f>
        <v/>
      </c>
      <c r="P22" s="30" t="str">
        <f ca="1">IF(COUNTIF(planning_general!G$4:G$104,$D22),INDIRECT("'planning_general'!AK"&amp;MATCH($D22,planning_general!G$4:G$104,0)+4-1),"")</f>
        <v/>
      </c>
      <c r="Q22" s="30" t="str">
        <f ca="1">IF(COUNTIF(planning_general!H$4:H$104,$D22),INDIRECT("'planning_general'!AL"&amp;MATCH($D22,planning_general!H$4:H$104,0)+4-1),"")</f>
        <v>Cuisine</v>
      </c>
      <c r="R22" s="30" t="str">
        <f ca="1">IF(COUNTIF(planning_general!I$4:I$104,$D22),INDIRECT("'planning_general'!AM"&amp;MATCH($D22,planning_general!I$4:I$104,0)+4-1),"")</f>
        <v/>
      </c>
      <c r="S22" s="30" t="str">
        <f ca="1">IF(COUNTIF(planning_general!J$4:J$104,$D22),INDIRECT("'planning_general'!AN"&amp;MATCH($D22,planning_general!J$4:J$104,0)+4-1),"")</f>
        <v/>
      </c>
      <c r="T22" s="30" t="str">
        <f ca="1">IF(COUNTIF(planning_general!K$4:K$104,$D22),INDIRECT("'planning_general'!AO"&amp;MATCH($D22,planning_general!K$4:K$104,0)+4-1),"")</f>
        <v/>
      </c>
      <c r="U22" s="30" t="str">
        <f ca="1">IF(COUNTIF(planning_general!L$4:L$104,$D22),INDIRECT("'planning_general'!AP"&amp;MATCH($D22,planning_general!L$4:L$104,0)+4-1),"")</f>
        <v>Cuisine</v>
      </c>
      <c r="V22" s="30" t="str">
        <f ca="1">IF(COUNTIF(planning_general!M$4:M$104,$D22),INDIRECT("'planning_general'!AQ"&amp;MATCH($D22,planning_general!M$4:M$104,0)+4-1),"")</f>
        <v/>
      </c>
      <c r="W22" s="30" t="str">
        <f ca="1">IF(COUNTIF(planning_general!N$4:N$104,$D22),INDIRECT("'planning_general'!AR"&amp;MATCH($D22,planning_general!N$4:N$104,0)+4-1),"")</f>
        <v>Cuisine</v>
      </c>
      <c r="X22" s="30" t="str">
        <f ca="1">IF(COUNTIF(planning_general!O$4:O$104,$D22),INDIRECT("'planning_general'!AS"&amp;MATCH($D22,planning_general!O$4:O$104,0)+4-1),"")</f>
        <v/>
      </c>
      <c r="Y22" s="30" t="str">
        <f ca="1">IF(COUNTIF(planning_general!P$4:P$104,$D22),INDIRECT("'planning_general'!AT"&amp;MATCH($D22,planning_general!P$4:P$104,0)+4-1),"")</f>
        <v>Cuisine</v>
      </c>
      <c r="Z22" s="30" t="str">
        <f ca="1">IF(COUNTIF(planning_general!Q$4:Q$104,$D22),INDIRECT("'planning_general'!AU"&amp;MATCH($D22,planning_general!Q$4:Q$104,0)+4-1),"")</f>
        <v/>
      </c>
      <c r="AA22" s="30" t="str">
        <f ca="1">IF(COUNTIF(planning_general!R$4:R$104,$D22),INDIRECT("'planning_general'!AV"&amp;MATCH($D22,planning_general!R$4:R$104,0)+4-1),"")</f>
        <v/>
      </c>
      <c r="AB22" s="30" t="str">
        <f ca="1">IF(COUNTIF(planning_general!S$4:S$104,$D22),INDIRECT("'planning_general'!AW"&amp;MATCH($D22,planning_general!S$4:S$104,0)+4-1),"")</f>
        <v/>
      </c>
      <c r="AC22" s="30" t="str">
        <f ca="1">IF(COUNTIF(planning_general!T$4:T$104,$D22),INDIRECT("'planning_general'!AX"&amp;MATCH($D22,planning_general!T$4:T$104,0)+4-1),"")</f>
        <v/>
      </c>
      <c r="AD22" s="30" t="str">
        <f ca="1">IF(COUNTIF(planning_general!U$4:U$104,$D22),INDIRECT("'planning_general'!AY"&amp;MATCH($D22,planning_general!U$4:U$104,0)+4-1),"")</f>
        <v/>
      </c>
      <c r="AE22" s="30" t="str">
        <f ca="1">IF(COUNTIF(planning_general!V$4:V$104,$D22),INDIRECT("'planning_general'!AZ"&amp;MATCH($D22,planning_general!V$4:V$104,0)+4-1),"")</f>
        <v/>
      </c>
      <c r="AF22" s="30" t="str">
        <f ca="1">IF(COUNTIF(planning_general!W$4:W$104,$D22),INDIRECT("'planning_general'!BA"&amp;MATCH($D22,planning_general!W$4:W$104,0)+4-1),"")</f>
        <v/>
      </c>
      <c r="AG22" s="30" t="str">
        <f ca="1">IF(COUNTIF(planning_general!X$4:X$104,$D22),INDIRECT("'planning_general'!BB"&amp;MATCH($D22,planning_general!X$4:X$104,0)+4-1),"")</f>
        <v/>
      </c>
      <c r="AH22" s="30" t="str">
        <f ca="1">IF(COUNTIF(planning_general!Y$4:Y$104,$D22),INDIRECT("'planning_general'!BC"&amp;MATCH($D22,planning_general!Y$4:Y$104,0)+4-1),"")</f>
        <v/>
      </c>
      <c r="AI22" s="30" t="str">
        <f ca="1">IF(COUNTIF(planning_general!Z$4:Z$104,$D22),INDIRECT("'planning_general'!BD"&amp;MATCH($D22,planning_general!Z$4:Z$104,0)+4-1),"")</f>
        <v/>
      </c>
      <c r="AJ22" s="30" t="str">
        <f ca="1">IF(COUNTIF(planning_general!AA$4:AA$104,$D22),INDIRECT("'planning_general'!BE"&amp;MATCH($D22,planning_general!AA$4:AA$104,0)+4-1),"")</f>
        <v/>
      </c>
      <c r="AK22" s="30" t="str">
        <f ca="1">IF(COUNTIF(planning_general!AB$4:AB$104,$D22),INDIRECT("'planning_general'!BF"&amp;MATCH($D22,planning_general!AB$4:AB$104,0)+4-1),"")</f>
        <v/>
      </c>
      <c r="AL22" s="30" t="str">
        <f ca="1">IF(COUNTIF(planning_general!AC$4:AC$104,$D22),INDIRECT("'planning_general'!BG"&amp;MATCH($D22,planning_general!AC$4:AC$104,0)+4-1),"")</f>
        <v/>
      </c>
      <c r="AM22" s="30" t="str">
        <f ca="1">IF(COUNTIF(planning_general!AD$4:AD$104,$D22),INDIRECT("'planning_general'!BH"&amp;MATCH($D22,planning_general!AD$4:AD$104,0)+4-1),"")</f>
        <v/>
      </c>
      <c r="AN22" s="30" t="str">
        <f ca="1">IF(COUNTIF(planning_general!AE$4:AE$104,$D22),INDIRECT("'planning_general'!BI"&amp;MATCH($D22,planning_general!AE$4:AE$104,0)+4-1),"")</f>
        <v/>
      </c>
    </row>
    <row r="23" spans="1:40" ht="34.950000000000003" customHeight="1" x14ac:dyDescent="0.35">
      <c r="A23" s="35">
        <f>beneficiaires!$A22</f>
        <v>21</v>
      </c>
      <c r="B23" s="28" t="str">
        <f>beneficiaires!B22</f>
        <v>Lopes (Da Cruz)</v>
      </c>
      <c r="C23" s="28" t="str">
        <f>beneficiaires!C22</f>
        <v>Manuel</v>
      </c>
      <c r="D23" s="29" t="str">
        <f>beneficiaires!D22</f>
        <v>Manuel_Lopes (Da Cruz)</v>
      </c>
      <c r="E23" s="29" t="str">
        <f>beneficiaires!E22</f>
        <v>Lopes (Da Cruz)_Manuel</v>
      </c>
      <c r="F23" s="26">
        <f t="shared" ref="F23:K47" si="1">IF(VLOOKUP($E23,references,4)=F$2,1,"")</f>
        <v>1</v>
      </c>
      <c r="G23" s="26" t="str">
        <f t="shared" si="1"/>
        <v/>
      </c>
      <c r="H23" s="26" t="str">
        <f t="shared" si="1"/>
        <v/>
      </c>
      <c r="I23" s="26" t="str">
        <f t="shared" si="1"/>
        <v/>
      </c>
      <c r="J23" s="26" t="str">
        <f t="shared" si="1"/>
        <v/>
      </c>
      <c r="K23" s="26" t="str">
        <f t="shared" si="1"/>
        <v/>
      </c>
      <c r="L23" s="26">
        <f>beneficiaires!J22</f>
        <v>60</v>
      </c>
      <c r="M23" s="30" t="str">
        <f ca="1">IF(COUNTIF(planning_general!D$4:D$104,$D23),INDIRECT("'planning_general'!AH"&amp;MATCH($D23,planning_general!D$4:D$104,0)+4-1),"")</f>
        <v/>
      </c>
      <c r="N23" s="30" t="str">
        <f ca="1">IF(COUNTIF(planning_general!E$4:E$104,$D23),INDIRECT("'planning_general'!AI"&amp;MATCH($D23,planning_general!E$4:E$104,0)+4-1),"")</f>
        <v/>
      </c>
      <c r="O23" s="30" t="str">
        <f ca="1">IF(COUNTIF(planning_general!F$4:F$104,$D23),INDIRECT("'planning_general'!AJ"&amp;MATCH($D23,planning_general!F$4:F$104,0)+4-1),"")</f>
        <v>Production</v>
      </c>
      <c r="P23" s="30" t="str">
        <f ca="1">IF(COUNTIF(planning_general!G$4:G$104,$D23),INDIRECT("'planning_general'!AK"&amp;MATCH($D23,planning_general!G$4:G$104,0)+4-1),"")</f>
        <v/>
      </c>
      <c r="Q23" s="30" t="str">
        <f ca="1">IF(COUNTIF(planning_general!H$4:H$104,$D23),INDIRECT("'planning_general'!AL"&amp;MATCH($D23,planning_general!H$4:H$104,0)+4-1),"")</f>
        <v>Production</v>
      </c>
      <c r="R23" s="30" t="str">
        <f ca="1">IF(COUNTIF(planning_general!I$4:I$104,$D23),INDIRECT("'planning_general'!AM"&amp;MATCH($D23,planning_general!I$4:I$104,0)+4-1),"")</f>
        <v/>
      </c>
      <c r="S23" s="30" t="str">
        <f ca="1">IF(COUNTIF(planning_general!J$4:J$104,$D23),INDIRECT("'planning_general'!AN"&amp;MATCH($D23,planning_general!J$4:J$104,0)+4-1),"")</f>
        <v/>
      </c>
      <c r="T23" s="30" t="str">
        <f ca="1">IF(COUNTIF(planning_general!K$4:K$104,$D23),INDIRECT("'planning_general'!AO"&amp;MATCH($D23,planning_general!K$4:K$104,0)+4-1),"")</f>
        <v/>
      </c>
      <c r="U23" s="30" t="str">
        <f ca="1">IF(COUNTIF(planning_general!L$4:L$104,$D23),INDIRECT("'planning_general'!AP"&amp;MATCH($D23,planning_general!L$4:L$104,0)+4-1),"")</f>
        <v>Production</v>
      </c>
      <c r="V23" s="30" t="str">
        <f ca="1">IF(COUNTIF(planning_general!M$4:M$104,$D23),INDIRECT("'planning_general'!AQ"&amp;MATCH($D23,planning_general!M$4:M$104,0)+4-1),"")</f>
        <v/>
      </c>
      <c r="W23" s="30" t="str">
        <f ca="1">IF(COUNTIF(planning_general!N$4:N$104,$D23),INDIRECT("'planning_general'!AR"&amp;MATCH($D23,planning_general!N$4:N$104,0)+4-1),"")</f>
        <v>Production</v>
      </c>
      <c r="X23" s="30" t="str">
        <f ca="1">IF(COUNTIF(planning_general!O$4:O$104,$D23),INDIRECT("'planning_general'!AS"&amp;MATCH($D23,planning_general!O$4:O$104,0)+4-1),"")</f>
        <v/>
      </c>
      <c r="Y23" s="30" t="str">
        <f ca="1">IF(COUNTIF(planning_general!P$4:P$104,$D23),INDIRECT("'planning_general'!AT"&amp;MATCH($D23,planning_general!P$4:P$104,0)+4-1),"")</f>
        <v>Production</v>
      </c>
      <c r="Z23" s="30" t="str">
        <f ca="1">IF(COUNTIF(planning_general!Q$4:Q$104,$D23),INDIRECT("'planning_general'!AU"&amp;MATCH($D23,planning_general!Q$4:Q$104,0)+4-1),"")</f>
        <v/>
      </c>
      <c r="AA23" s="30" t="str">
        <f ca="1">IF(COUNTIF(planning_general!R$4:R$104,$D23),INDIRECT("'planning_general'!AV"&amp;MATCH($D23,planning_general!R$4:R$104,0)+4-1),"")</f>
        <v/>
      </c>
      <c r="AB23" s="30" t="str">
        <f ca="1">IF(COUNTIF(planning_general!S$4:S$104,$D23),INDIRECT("'planning_general'!AW"&amp;MATCH($D23,planning_general!S$4:S$104,0)+4-1),"")</f>
        <v/>
      </c>
      <c r="AC23" s="30" t="str">
        <f ca="1">IF(COUNTIF(planning_general!T$4:T$104,$D23),INDIRECT("'planning_general'!AX"&amp;MATCH($D23,planning_general!T$4:T$104,0)+4-1),"")</f>
        <v>Production</v>
      </c>
      <c r="AD23" s="30" t="str">
        <f ca="1">IF(COUNTIF(planning_general!U$4:U$104,$D23),INDIRECT("'planning_general'!AY"&amp;MATCH($D23,planning_general!U$4:U$104,0)+4-1),"")</f>
        <v/>
      </c>
      <c r="AE23" s="30" t="str">
        <f ca="1">IF(COUNTIF(planning_general!V$4:V$104,$D23),INDIRECT("'planning_general'!AZ"&amp;MATCH($D23,planning_general!V$4:V$104,0)+4-1),"")</f>
        <v/>
      </c>
      <c r="AF23" s="30" t="str">
        <f ca="1">IF(COUNTIF(planning_general!W$4:W$104,$D23),INDIRECT("'planning_general'!BA"&amp;MATCH($D23,planning_general!W$4:W$104,0)+4-1),"")</f>
        <v/>
      </c>
      <c r="AG23" s="30" t="str">
        <f ca="1">IF(COUNTIF(planning_general!X$4:X$104,$D23),INDIRECT("'planning_general'!BB"&amp;MATCH($D23,planning_general!X$4:X$104,0)+4-1),"")</f>
        <v/>
      </c>
      <c r="AH23" s="30" t="str">
        <f ca="1">IF(COUNTIF(planning_general!Y$4:Y$104,$D23),INDIRECT("'planning_general'!BC"&amp;MATCH($D23,planning_general!Y$4:Y$104,0)+4-1),"")</f>
        <v/>
      </c>
      <c r="AI23" s="30" t="str">
        <f ca="1">IF(COUNTIF(planning_general!Z$4:Z$104,$D23),INDIRECT("'planning_general'!BD"&amp;MATCH($D23,planning_general!Z$4:Z$104,0)+4-1),"")</f>
        <v/>
      </c>
      <c r="AJ23" s="30" t="str">
        <f ca="1">IF(COUNTIF(planning_general!AA$4:AA$104,$D23),INDIRECT("'planning_general'!BE"&amp;MATCH($D23,planning_general!AA$4:AA$104,0)+4-1),"")</f>
        <v/>
      </c>
      <c r="AK23" s="30" t="str">
        <f ca="1">IF(COUNTIF(planning_general!AB$4:AB$104,$D23),INDIRECT("'planning_general'!BF"&amp;MATCH($D23,planning_general!AB$4:AB$104,0)+4-1),"")</f>
        <v/>
      </c>
      <c r="AL23" s="30" t="str">
        <f ca="1">IF(COUNTIF(planning_general!AC$4:AC$104,$D23),INDIRECT("'planning_general'!BG"&amp;MATCH($D23,planning_general!AC$4:AC$104,0)+4-1),"")</f>
        <v/>
      </c>
      <c r="AM23" s="30" t="str">
        <f ca="1">IF(COUNTIF(planning_general!AD$4:AD$104,$D23),INDIRECT("'planning_general'!BH"&amp;MATCH($D23,planning_general!AD$4:AD$104,0)+4-1),"")</f>
        <v/>
      </c>
      <c r="AN23" s="30" t="str">
        <f ca="1">IF(COUNTIF(planning_general!AE$4:AE$104,$D23),INDIRECT("'planning_general'!BI"&amp;MATCH($D23,planning_general!AE$4:AE$104,0)+4-1),"")</f>
        <v/>
      </c>
    </row>
    <row r="24" spans="1:40" ht="34.950000000000003" customHeight="1" x14ac:dyDescent="0.35">
      <c r="A24" s="35">
        <f>beneficiaires!$A23</f>
        <v>22</v>
      </c>
      <c r="B24" s="28" t="str">
        <f>beneficiaires!B23</f>
        <v>Marchello</v>
      </c>
      <c r="C24" s="28" t="str">
        <f>beneficiaires!C23</f>
        <v>Graziella</v>
      </c>
      <c r="D24" s="29" t="str">
        <f>beneficiaires!D23</f>
        <v>Graziella_Marchello</v>
      </c>
      <c r="E24" s="29" t="str">
        <f>beneficiaires!E23</f>
        <v>Marchello_Graziella</v>
      </c>
      <c r="F24" s="26" t="str">
        <f t="shared" si="1"/>
        <v/>
      </c>
      <c r="G24" s="26" t="str">
        <f t="shared" si="1"/>
        <v/>
      </c>
      <c r="H24" s="26">
        <f t="shared" si="1"/>
        <v>1</v>
      </c>
      <c r="I24" s="26" t="str">
        <f t="shared" si="1"/>
        <v/>
      </c>
      <c r="J24" s="26" t="str">
        <f t="shared" si="1"/>
        <v/>
      </c>
      <c r="K24" s="26" t="str">
        <f t="shared" si="1"/>
        <v/>
      </c>
      <c r="L24" s="26">
        <f>beneficiaires!J23</f>
        <v>40</v>
      </c>
      <c r="M24" s="30" t="str">
        <f ca="1">IF(COUNTIF(planning_general!D$4:D$104,$D24),INDIRECT("'planning_general'!AH"&amp;MATCH($D24,planning_general!D$4:D$104,0)+4-1),"")</f>
        <v>Cuisine</v>
      </c>
      <c r="N24" s="30" t="str">
        <f ca="1">IF(COUNTIF(planning_general!E$4:E$104,$D24),INDIRECT("'planning_general'!AI"&amp;MATCH($D24,planning_general!E$4:E$104,0)+4-1),"")</f>
        <v/>
      </c>
      <c r="O24" s="30" t="str">
        <f ca="1">IF(COUNTIF(planning_general!F$4:F$104,$D24),INDIRECT("'planning_general'!AJ"&amp;MATCH($D24,planning_general!F$4:F$104,0)+4-1),"")</f>
        <v>Cuisine</v>
      </c>
      <c r="P24" s="30" t="str">
        <f ca="1">IF(COUNTIF(planning_general!G$4:G$104,$D24),INDIRECT("'planning_general'!AK"&amp;MATCH($D24,planning_general!G$4:G$104,0)+4-1),"")</f>
        <v/>
      </c>
      <c r="Q24" s="30" t="str">
        <f ca="1">IF(COUNTIF(planning_general!H$4:H$104,$D24),INDIRECT("'planning_general'!AL"&amp;MATCH($D24,planning_general!H$4:H$104,0)+4-1),"")</f>
        <v/>
      </c>
      <c r="R24" s="30" t="str">
        <f ca="1">IF(COUNTIF(planning_general!I$4:I$104,$D24),INDIRECT("'planning_general'!AM"&amp;MATCH($D24,planning_general!I$4:I$104,0)+4-1),"")</f>
        <v/>
      </c>
      <c r="S24" s="30" t="str">
        <f ca="1">IF(COUNTIF(planning_general!J$4:J$104,$D24),INDIRECT("'planning_general'!AN"&amp;MATCH($D24,planning_general!J$4:J$104,0)+4-1),"")</f>
        <v/>
      </c>
      <c r="T24" s="30" t="str">
        <f ca="1">IF(COUNTIF(planning_general!K$4:K$104,$D24),INDIRECT("'planning_general'!AO"&amp;MATCH($D24,planning_general!K$4:K$104,0)+4-1),"")</f>
        <v/>
      </c>
      <c r="U24" s="30" t="str">
        <f ca="1">IF(COUNTIF(planning_general!L$4:L$104,$D24),INDIRECT("'planning_general'!AP"&amp;MATCH($D24,planning_general!L$4:L$104,0)+4-1),"")</f>
        <v/>
      </c>
      <c r="V24" s="30" t="str">
        <f ca="1">IF(COUNTIF(planning_general!M$4:M$104,$D24),INDIRECT("'planning_general'!AQ"&amp;MATCH($D24,planning_general!M$4:M$104,0)+4-1),"")</f>
        <v/>
      </c>
      <c r="W24" s="30" t="str">
        <f ca="1">IF(COUNTIF(planning_general!N$4:N$104,$D24),INDIRECT("'planning_general'!AR"&amp;MATCH($D24,planning_general!N$4:N$104,0)+4-1),"")</f>
        <v/>
      </c>
      <c r="X24" s="30" t="str">
        <f ca="1">IF(COUNTIF(planning_general!O$4:O$104,$D24),INDIRECT("'planning_general'!AS"&amp;MATCH($D24,planning_general!O$4:O$104,0)+4-1),"")</f>
        <v/>
      </c>
      <c r="Y24" s="30" t="str">
        <f ca="1">IF(COUNTIF(planning_general!P$4:P$104,$D24),INDIRECT("'planning_general'!AT"&amp;MATCH($D24,planning_general!P$4:P$104,0)+4-1),"")</f>
        <v/>
      </c>
      <c r="Z24" s="30" t="str">
        <f ca="1">IF(COUNTIF(planning_general!Q$4:Q$104,$D24),INDIRECT("'planning_general'!AU"&amp;MATCH($D24,planning_general!Q$4:Q$104,0)+4-1),"")</f>
        <v/>
      </c>
      <c r="AA24" s="30" t="str">
        <f ca="1">IF(COUNTIF(planning_general!R$4:R$104,$D24),INDIRECT("'planning_general'!AV"&amp;MATCH($D24,planning_general!R$4:R$104,0)+4-1),"")</f>
        <v/>
      </c>
      <c r="AB24" s="30" t="str">
        <f ca="1">IF(COUNTIF(planning_general!S$4:S$104,$D24),INDIRECT("'planning_general'!AW"&amp;MATCH($D24,planning_general!S$4:S$104,0)+4-1),"")</f>
        <v/>
      </c>
      <c r="AC24" s="30" t="str">
        <f ca="1">IF(COUNTIF(planning_general!T$4:T$104,$D24),INDIRECT("'planning_general'!AX"&amp;MATCH($D24,planning_general!T$4:T$104,0)+4-1),"")</f>
        <v>Cuisine</v>
      </c>
      <c r="AD24" s="30" t="str">
        <f ca="1">IF(COUNTIF(planning_general!U$4:U$104,$D24),INDIRECT("'planning_general'!AY"&amp;MATCH($D24,planning_general!U$4:U$104,0)+4-1),"")</f>
        <v/>
      </c>
      <c r="AE24" s="30" t="str">
        <f ca="1">IF(COUNTIF(planning_general!V$4:V$104,$D24),INDIRECT("'planning_general'!AZ"&amp;MATCH($D24,planning_general!V$4:V$104,0)+4-1),"")</f>
        <v>Cuisine</v>
      </c>
      <c r="AF24" s="30" t="str">
        <f ca="1">IF(COUNTIF(planning_general!W$4:W$104,$D24),INDIRECT("'planning_general'!BA"&amp;MATCH($D24,planning_general!W$4:W$104,0)+4-1),"")</f>
        <v/>
      </c>
      <c r="AG24" s="30" t="str">
        <f ca="1">IF(COUNTIF(planning_general!X$4:X$104,$D24),INDIRECT("'planning_general'!BB"&amp;MATCH($D24,planning_general!X$4:X$104,0)+4-1),"")</f>
        <v/>
      </c>
      <c r="AH24" s="30" t="str">
        <f ca="1">IF(COUNTIF(planning_general!Y$4:Y$104,$D24),INDIRECT("'planning_general'!BC"&amp;MATCH($D24,planning_general!Y$4:Y$104,0)+4-1),"")</f>
        <v/>
      </c>
      <c r="AI24" s="30" t="str">
        <f ca="1">IF(COUNTIF(planning_general!Z$4:Z$104,$D24),INDIRECT("'planning_general'!BD"&amp;MATCH($D24,planning_general!Z$4:Z$104,0)+4-1),"")</f>
        <v/>
      </c>
      <c r="AJ24" s="30" t="str">
        <f ca="1">IF(COUNTIF(planning_general!AA$4:AA$104,$D24),INDIRECT("'planning_general'!BE"&amp;MATCH($D24,planning_general!AA$4:AA$104,0)+4-1),"")</f>
        <v/>
      </c>
      <c r="AK24" s="30" t="str">
        <f ca="1">IF(COUNTIF(planning_general!AB$4:AB$104,$D24),INDIRECT("'planning_general'!BF"&amp;MATCH($D24,planning_general!AB$4:AB$104,0)+4-1),"")</f>
        <v/>
      </c>
      <c r="AL24" s="30" t="str">
        <f ca="1">IF(COUNTIF(planning_general!AC$4:AC$104,$D24),INDIRECT("'planning_general'!BG"&amp;MATCH($D24,planning_general!AC$4:AC$104,0)+4-1),"")</f>
        <v/>
      </c>
      <c r="AM24" s="30" t="str">
        <f ca="1">IF(COUNTIF(planning_general!AD$4:AD$104,$D24),INDIRECT("'planning_general'!BH"&amp;MATCH($D24,planning_general!AD$4:AD$104,0)+4-1),"")</f>
        <v/>
      </c>
      <c r="AN24" s="30" t="str">
        <f ca="1">IF(COUNTIF(planning_general!AE$4:AE$104,$D24),INDIRECT("'planning_general'!BI"&amp;MATCH($D24,planning_general!AE$4:AE$104,0)+4-1),"")</f>
        <v/>
      </c>
    </row>
    <row r="25" spans="1:40" ht="34.950000000000003" customHeight="1" x14ac:dyDescent="0.35">
      <c r="A25" s="35">
        <f>beneficiaires!$A24</f>
        <v>23</v>
      </c>
      <c r="B25" s="28" t="str">
        <f>beneficiaires!B24</f>
        <v>Martin</v>
      </c>
      <c r="C25" s="28" t="str">
        <f>beneficiaires!C24</f>
        <v>Marie-Hélène</v>
      </c>
      <c r="D25" s="29" t="str">
        <f>beneficiaires!D24</f>
        <v>Marie-Hélène_Martin</v>
      </c>
      <c r="E25" s="29" t="str">
        <f>beneficiaires!E24</f>
        <v>Martin_Marie-Hélène</v>
      </c>
      <c r="F25" s="26" t="str">
        <f t="shared" si="1"/>
        <v/>
      </c>
      <c r="G25" s="26" t="str">
        <f t="shared" si="1"/>
        <v/>
      </c>
      <c r="H25" s="26">
        <f t="shared" si="1"/>
        <v>1</v>
      </c>
      <c r="I25" s="26" t="str">
        <f t="shared" si="1"/>
        <v/>
      </c>
      <c r="J25" s="26" t="str">
        <f t="shared" si="1"/>
        <v/>
      </c>
      <c r="K25" s="26" t="str">
        <f t="shared" si="1"/>
        <v/>
      </c>
      <c r="L25" s="26">
        <f>beneficiaires!J24</f>
        <v>40</v>
      </c>
      <c r="M25" s="30" t="str">
        <f ca="1">IF(COUNTIF(planning_general!D$4:D$104,$D25),INDIRECT("'planning_general'!AH"&amp;MATCH($D25,planning_general!D$4:D$104,0)+4-1),"")</f>
        <v>Cuisine</v>
      </c>
      <c r="N25" s="30" t="str">
        <f ca="1">IF(COUNTIF(planning_general!E$4:E$104,$D25),INDIRECT("'planning_general'!AI"&amp;MATCH($D25,planning_general!E$4:E$104,0)+4-1),"")</f>
        <v/>
      </c>
      <c r="O25" s="30" t="str">
        <f ca="1">IF(COUNTIF(planning_general!F$4:F$104,$D25),INDIRECT("'planning_general'!AJ"&amp;MATCH($D25,planning_general!F$4:F$104,0)+4-1),"")</f>
        <v/>
      </c>
      <c r="P25" s="30" t="str">
        <f ca="1">IF(COUNTIF(planning_general!G$4:G$104,$D25),INDIRECT("'planning_general'!AK"&amp;MATCH($D25,planning_general!G$4:G$104,0)+4-1),"")</f>
        <v/>
      </c>
      <c r="Q25" s="30" t="str">
        <f ca="1">IF(COUNTIF(planning_general!H$4:H$104,$D25),INDIRECT("'planning_general'!AL"&amp;MATCH($D25,planning_general!H$4:H$104,0)+4-1),"")</f>
        <v>Cuisine</v>
      </c>
      <c r="R25" s="30" t="str">
        <f ca="1">IF(COUNTIF(planning_general!I$4:I$104,$D25),INDIRECT("'planning_general'!AM"&amp;MATCH($D25,planning_general!I$4:I$104,0)+4-1),"")</f>
        <v/>
      </c>
      <c r="S25" s="30" t="str">
        <f ca="1">IF(COUNTIF(planning_general!J$4:J$104,$D25),INDIRECT("'planning_general'!AN"&amp;MATCH($D25,planning_general!J$4:J$104,0)+4-1),"")</f>
        <v/>
      </c>
      <c r="T25" s="30" t="str">
        <f ca="1">IF(COUNTIF(planning_general!K$4:K$104,$D25),INDIRECT("'planning_general'!AO"&amp;MATCH($D25,planning_general!K$4:K$104,0)+4-1),"")</f>
        <v/>
      </c>
      <c r="U25" s="30" t="str">
        <f ca="1">IF(COUNTIF(planning_general!L$4:L$104,$D25),INDIRECT("'planning_general'!AP"&amp;MATCH($D25,planning_general!L$4:L$104,0)+4-1),"")</f>
        <v/>
      </c>
      <c r="V25" s="30" t="str">
        <f ca="1">IF(COUNTIF(planning_general!M$4:M$104,$D25),INDIRECT("'planning_general'!AQ"&amp;MATCH($D25,planning_general!M$4:M$104,0)+4-1),"")</f>
        <v/>
      </c>
      <c r="W25" s="30" t="str">
        <f ca="1">IF(COUNTIF(planning_general!N$4:N$104,$D25),INDIRECT("'planning_general'!AR"&amp;MATCH($D25,planning_general!N$4:N$104,0)+4-1),"")</f>
        <v/>
      </c>
      <c r="X25" s="30" t="str">
        <f ca="1">IF(COUNTIF(planning_general!O$4:O$104,$D25),INDIRECT("'planning_general'!AS"&amp;MATCH($D25,planning_general!O$4:O$104,0)+4-1),"")</f>
        <v/>
      </c>
      <c r="Y25" s="30" t="str">
        <f ca="1">IF(COUNTIF(planning_general!P$4:P$104,$D25),INDIRECT("'planning_general'!AT"&amp;MATCH($D25,planning_general!P$4:P$104,0)+4-1),"")</f>
        <v>Cuisine</v>
      </c>
      <c r="Z25" s="30" t="str">
        <f ca="1">IF(COUNTIF(planning_general!Q$4:Q$104,$D25),INDIRECT("'planning_general'!AU"&amp;MATCH($D25,planning_general!Q$4:Q$104,0)+4-1),"")</f>
        <v/>
      </c>
      <c r="AA25" s="30" t="str">
        <f ca="1">IF(COUNTIF(planning_general!R$4:R$104,$D25),INDIRECT("'planning_general'!AV"&amp;MATCH($D25,planning_general!R$4:R$104,0)+4-1),"")</f>
        <v/>
      </c>
      <c r="AB25" s="30" t="str">
        <f ca="1">IF(COUNTIF(planning_general!S$4:S$104,$D25),INDIRECT("'planning_general'!AW"&amp;MATCH($D25,planning_general!S$4:S$104,0)+4-1),"")</f>
        <v/>
      </c>
      <c r="AC25" s="30" t="str">
        <f ca="1">IF(COUNTIF(planning_general!T$4:T$104,$D25),INDIRECT("'planning_general'!AX"&amp;MATCH($D25,planning_general!T$4:T$104,0)+4-1),"")</f>
        <v>Cuisine</v>
      </c>
      <c r="AD25" s="30" t="str">
        <f ca="1">IF(COUNTIF(planning_general!U$4:U$104,$D25),INDIRECT("'planning_general'!AY"&amp;MATCH($D25,planning_general!U$4:U$104,0)+4-1),"")</f>
        <v/>
      </c>
      <c r="AE25" s="30" t="str">
        <f ca="1">IF(COUNTIF(planning_general!V$4:V$104,$D25),INDIRECT("'planning_general'!AZ"&amp;MATCH($D25,planning_general!V$4:V$104,0)+4-1),"")</f>
        <v/>
      </c>
      <c r="AF25" s="30" t="str">
        <f ca="1">IF(COUNTIF(planning_general!W$4:W$104,$D25),INDIRECT("'planning_general'!BA"&amp;MATCH($D25,planning_general!W$4:W$104,0)+4-1),"")</f>
        <v/>
      </c>
      <c r="AG25" s="30" t="str">
        <f ca="1">IF(COUNTIF(planning_general!X$4:X$104,$D25),INDIRECT("'planning_general'!BB"&amp;MATCH($D25,planning_general!X$4:X$104,0)+4-1),"")</f>
        <v/>
      </c>
      <c r="AH25" s="30" t="str">
        <f ca="1">IF(COUNTIF(planning_general!Y$4:Y$104,$D25),INDIRECT("'planning_general'!BC"&amp;MATCH($D25,planning_general!Y$4:Y$104,0)+4-1),"")</f>
        <v/>
      </c>
      <c r="AI25" s="30" t="str">
        <f ca="1">IF(COUNTIF(planning_general!Z$4:Z$104,$D25),INDIRECT("'planning_general'!BD"&amp;MATCH($D25,planning_general!Z$4:Z$104,0)+4-1),"")</f>
        <v/>
      </c>
      <c r="AJ25" s="30" t="str">
        <f ca="1">IF(COUNTIF(planning_general!AA$4:AA$104,$D25),INDIRECT("'planning_general'!BE"&amp;MATCH($D25,planning_general!AA$4:AA$104,0)+4-1),"")</f>
        <v/>
      </c>
      <c r="AK25" s="30" t="str">
        <f ca="1">IF(COUNTIF(planning_general!AB$4:AB$104,$D25),INDIRECT("'planning_general'!BF"&amp;MATCH($D25,planning_general!AB$4:AB$104,0)+4-1),"")</f>
        <v/>
      </c>
      <c r="AL25" s="30" t="str">
        <f ca="1">IF(COUNTIF(planning_general!AC$4:AC$104,$D25),INDIRECT("'planning_general'!BG"&amp;MATCH($D25,planning_general!AC$4:AC$104,0)+4-1),"")</f>
        <v/>
      </c>
      <c r="AM25" s="30" t="str">
        <f ca="1">IF(COUNTIF(planning_general!AD$4:AD$104,$D25),INDIRECT("'planning_general'!BH"&amp;MATCH($D25,planning_general!AD$4:AD$104,0)+4-1),"")</f>
        <v/>
      </c>
      <c r="AN25" s="30" t="str">
        <f ca="1">IF(COUNTIF(planning_general!AE$4:AE$104,$D25),INDIRECT("'planning_general'!BI"&amp;MATCH($D25,planning_general!AE$4:AE$104,0)+4-1),"")</f>
        <v/>
      </c>
    </row>
    <row r="26" spans="1:40" ht="34.950000000000003" customHeight="1" x14ac:dyDescent="0.35">
      <c r="A26" s="35">
        <f>beneficiaires!$A25</f>
        <v>24</v>
      </c>
      <c r="B26" s="28" t="str">
        <f>beneficiaires!B25</f>
        <v>Matos</v>
      </c>
      <c r="C26" s="28" t="str">
        <f>beneficiaires!C25</f>
        <v>Maria-Célia</v>
      </c>
      <c r="D26" s="29" t="str">
        <f>beneficiaires!D25</f>
        <v>Maria-Célia_Matos</v>
      </c>
      <c r="E26" s="29" t="str">
        <f>beneficiaires!E25</f>
        <v>Matos_Maria-Célia</v>
      </c>
      <c r="F26" s="26" t="str">
        <f t="shared" si="1"/>
        <v/>
      </c>
      <c r="G26" s="26">
        <f t="shared" si="1"/>
        <v>1</v>
      </c>
      <c r="H26" s="26" t="str">
        <f t="shared" si="1"/>
        <v/>
      </c>
      <c r="I26" s="26" t="str">
        <f t="shared" si="1"/>
        <v/>
      </c>
      <c r="J26" s="26" t="str">
        <f t="shared" si="1"/>
        <v/>
      </c>
      <c r="K26" s="26" t="str">
        <f t="shared" si="1"/>
        <v/>
      </c>
      <c r="L26" s="26">
        <f>beneficiaires!J25</f>
        <v>60</v>
      </c>
      <c r="M26" s="30" t="str">
        <f ca="1">IF(COUNTIF(planning_general!D$4:D$104,$D26),INDIRECT("'planning_general'!AH"&amp;MATCH($D26,planning_general!D$4:D$104,0)+4-1),"")</f>
        <v>REA</v>
      </c>
      <c r="N26" s="30" t="str">
        <f ca="1">IF(COUNTIF(planning_general!E$4:E$104,$D26),INDIRECT("'planning_general'!AI"&amp;MATCH($D26,planning_general!E$4:E$104,0)+4-1),"")</f>
        <v/>
      </c>
      <c r="O26" s="30" t="str">
        <f ca="1">IF(COUNTIF(planning_general!F$4:F$104,$D26),INDIRECT("'planning_general'!AJ"&amp;MATCH($D26,planning_general!F$4:F$104,0)+4-1),"")</f>
        <v/>
      </c>
      <c r="P26" s="30" t="str">
        <f ca="1">IF(COUNTIF(planning_general!G$4:G$104,$D26),INDIRECT("'planning_general'!AK"&amp;MATCH($D26,planning_general!G$4:G$104,0)+4-1),"")</f>
        <v/>
      </c>
      <c r="Q26" s="30" t="str">
        <f ca="1">IF(COUNTIF(planning_general!H$4:H$104,$D26),INDIRECT("'planning_general'!AL"&amp;MATCH($D26,planning_general!H$4:H$104,0)+4-1),"")</f>
        <v>Animation</v>
      </c>
      <c r="R26" s="30" t="str">
        <f ca="1">IF(COUNTIF(planning_general!I$4:I$104,$D26),INDIRECT("'planning_general'!AM"&amp;MATCH($D26,planning_general!I$4:I$104,0)+4-1),"")</f>
        <v/>
      </c>
      <c r="S26" s="30" t="str">
        <f ca="1">IF(COUNTIF(planning_general!J$4:J$104,$D26),INDIRECT("'planning_general'!AN"&amp;MATCH($D26,planning_general!J$4:J$104,0)+4-1),"")</f>
        <v>Animation</v>
      </c>
      <c r="T26" s="30" t="str">
        <f ca="1">IF(COUNTIF(planning_general!K$4:K$104,$D26),INDIRECT("'planning_general'!AO"&amp;MATCH($D26,planning_general!K$4:K$104,0)+4-1),"")</f>
        <v/>
      </c>
      <c r="U26" s="30" t="str">
        <f ca="1">IF(COUNTIF(planning_general!L$4:L$104,$D26),INDIRECT("'planning_general'!AP"&amp;MATCH($D26,planning_general!L$4:L$104,0)+4-1),"")</f>
        <v/>
      </c>
      <c r="V26" s="30" t="str">
        <f ca="1">IF(COUNTIF(planning_general!M$4:M$104,$D26),INDIRECT("'planning_general'!AQ"&amp;MATCH($D26,planning_general!M$4:M$104,0)+4-1),"")</f>
        <v/>
      </c>
      <c r="W26" s="30" t="str">
        <f ca="1">IF(COUNTIF(planning_general!N$4:N$104,$D26),INDIRECT("'planning_general'!AR"&amp;MATCH($D26,planning_general!N$4:N$104,0)+4-1),"")</f>
        <v/>
      </c>
      <c r="X26" s="30" t="str">
        <f ca="1">IF(COUNTIF(planning_general!O$4:O$104,$D26),INDIRECT("'planning_general'!AS"&amp;MATCH($D26,planning_general!O$4:O$104,0)+4-1),"")</f>
        <v/>
      </c>
      <c r="Y26" s="30" t="str">
        <f ca="1">IF(COUNTIF(planning_general!P$4:P$104,$D26),INDIRECT("'planning_general'!AT"&amp;MATCH($D26,planning_general!P$4:P$104,0)+4-1),"")</f>
        <v/>
      </c>
      <c r="Z26" s="30" t="str">
        <f ca="1">IF(COUNTIF(planning_general!Q$4:Q$104,$D26),INDIRECT("'planning_general'!AU"&amp;MATCH($D26,planning_general!Q$4:Q$104,0)+4-1),"")</f>
        <v/>
      </c>
      <c r="AA26" s="30" t="str">
        <f ca="1">IF(COUNTIF(planning_general!R$4:R$104,$D26),INDIRECT("'planning_general'!AV"&amp;MATCH($D26,planning_general!R$4:R$104,0)+4-1),"")</f>
        <v>Animation</v>
      </c>
      <c r="AB26" s="30" t="str">
        <f ca="1">IF(COUNTIF(planning_general!S$4:S$104,$D26),INDIRECT("'planning_general'!AW"&amp;MATCH($D26,planning_general!S$4:S$104,0)+4-1),"")</f>
        <v/>
      </c>
      <c r="AC26" s="30" t="str">
        <f ca="1">IF(COUNTIF(planning_general!T$4:T$104,$D26),INDIRECT("'planning_general'!AX"&amp;MATCH($D26,planning_general!T$4:T$104,0)+4-1),"")</f>
        <v>Animation</v>
      </c>
      <c r="AD26" s="30" t="str">
        <f ca="1">IF(COUNTIF(planning_general!U$4:U$104,$D26),INDIRECT("'planning_general'!AY"&amp;MATCH($D26,planning_general!U$4:U$104,0)+4-1),"")</f>
        <v/>
      </c>
      <c r="AE26" s="30" t="str">
        <f ca="1">IF(COUNTIF(planning_general!V$4:V$104,$D26),INDIRECT("'planning_general'!AZ"&amp;MATCH($D26,planning_general!V$4:V$104,0)+4-1),"")</f>
        <v>Animation</v>
      </c>
      <c r="AF26" s="30" t="str">
        <f ca="1">IF(COUNTIF(planning_general!W$4:W$104,$D26),INDIRECT("'planning_general'!BA"&amp;MATCH($D26,planning_general!W$4:W$104,0)+4-1),"")</f>
        <v/>
      </c>
      <c r="AG26" s="30" t="str">
        <f ca="1">IF(COUNTIF(planning_general!X$4:X$104,$D26),INDIRECT("'planning_general'!BB"&amp;MATCH($D26,planning_general!X$4:X$104,0)+4-1),"")</f>
        <v/>
      </c>
      <c r="AH26" s="30" t="str">
        <f ca="1">IF(COUNTIF(planning_general!Y$4:Y$104,$D26),INDIRECT("'planning_general'!BC"&amp;MATCH($D26,planning_general!Y$4:Y$104,0)+4-1),"")</f>
        <v/>
      </c>
      <c r="AI26" s="30" t="str">
        <f ca="1">IF(COUNTIF(planning_general!Z$4:Z$104,$D26),INDIRECT("'planning_general'!BD"&amp;MATCH($D26,planning_general!Z$4:Z$104,0)+4-1),"")</f>
        <v/>
      </c>
      <c r="AJ26" s="30" t="str">
        <f ca="1">IF(COUNTIF(planning_general!AA$4:AA$104,$D26),INDIRECT("'planning_general'!BE"&amp;MATCH($D26,planning_general!AA$4:AA$104,0)+4-1),"")</f>
        <v/>
      </c>
      <c r="AK26" s="30" t="str">
        <f ca="1">IF(COUNTIF(planning_general!AB$4:AB$104,$D26),INDIRECT("'planning_general'!BF"&amp;MATCH($D26,planning_general!AB$4:AB$104,0)+4-1),"")</f>
        <v/>
      </c>
      <c r="AL26" s="30" t="str">
        <f ca="1">IF(COUNTIF(planning_general!AC$4:AC$104,$D26),INDIRECT("'planning_general'!BG"&amp;MATCH($D26,planning_general!AC$4:AC$104,0)+4-1),"")</f>
        <v/>
      </c>
      <c r="AM26" s="30" t="str">
        <f ca="1">IF(COUNTIF(planning_general!AD$4:AD$104,$D26),INDIRECT("'planning_general'!BH"&amp;MATCH($D26,planning_general!AD$4:AD$104,0)+4-1),"")</f>
        <v/>
      </c>
      <c r="AN26" s="30" t="str">
        <f ca="1">IF(COUNTIF(planning_general!AE$4:AE$104,$D26),INDIRECT("'planning_general'!BI"&amp;MATCH($D26,planning_general!AE$4:AE$104,0)+4-1),"")</f>
        <v/>
      </c>
    </row>
    <row r="27" spans="1:40" ht="34.950000000000003" customHeight="1" x14ac:dyDescent="0.35">
      <c r="A27" s="35">
        <f>beneficiaires!$A26</f>
        <v>25</v>
      </c>
      <c r="B27" s="28" t="str">
        <f>beneficiaires!B26</f>
        <v>Mehmedovic</v>
      </c>
      <c r="C27" s="28" t="str">
        <f>beneficiaires!C26</f>
        <v>Jusuf</v>
      </c>
      <c r="D27" s="29" t="str">
        <f>beneficiaires!D26</f>
        <v>Jusuf_Mehmedovic</v>
      </c>
      <c r="E27" s="29" t="str">
        <f>beneficiaires!E26</f>
        <v>Mehmedovic_Jusuf</v>
      </c>
      <c r="F27" s="26">
        <f t="shared" si="1"/>
        <v>1</v>
      </c>
      <c r="G27" s="26" t="str">
        <f t="shared" si="1"/>
        <v/>
      </c>
      <c r="H27" s="26" t="str">
        <f t="shared" si="1"/>
        <v/>
      </c>
      <c r="I27" s="26" t="str">
        <f t="shared" si="1"/>
        <v/>
      </c>
      <c r="J27" s="26" t="str">
        <f t="shared" si="1"/>
        <v/>
      </c>
      <c r="K27" s="26" t="str">
        <f t="shared" si="1"/>
        <v/>
      </c>
      <c r="L27" s="26">
        <f>beneficiaires!J26</f>
        <v>90</v>
      </c>
      <c r="M27" s="30" t="str">
        <f ca="1">IF(COUNTIF(planning_general!D$4:D$104,$D27),INDIRECT("'planning_general'!AH"&amp;MATCH($D27,planning_general!D$4:D$104,0)+4-1),"")</f>
        <v>Production</v>
      </c>
      <c r="N27" s="30" t="str">
        <f ca="1">IF(COUNTIF(planning_general!E$4:E$104,$D27),INDIRECT("'planning_general'!AI"&amp;MATCH($D27,planning_general!E$4:E$104,0)+4-1),"")</f>
        <v/>
      </c>
      <c r="O27" s="30" t="str">
        <f ca="1">IF(COUNTIF(planning_general!F$4:F$104,$D27),INDIRECT("'planning_general'!AJ"&amp;MATCH($D27,planning_general!F$4:F$104,0)+4-1),"")</f>
        <v>Production</v>
      </c>
      <c r="P27" s="30" t="str">
        <f ca="1">IF(COUNTIF(planning_general!G$4:G$104,$D27),INDIRECT("'planning_general'!AK"&amp;MATCH($D27,planning_general!G$4:G$104,0)+4-1),"")</f>
        <v/>
      </c>
      <c r="Q27" s="30" t="str">
        <f ca="1">IF(COUNTIF(planning_general!H$4:H$104,$D27),INDIRECT("'planning_general'!AL"&amp;MATCH($D27,planning_general!H$4:H$104,0)+4-1),"")</f>
        <v>Production</v>
      </c>
      <c r="R27" s="30" t="str">
        <f ca="1">IF(COUNTIF(planning_general!I$4:I$104,$D27),INDIRECT("'planning_general'!AM"&amp;MATCH($D27,planning_general!I$4:I$104,0)+4-1),"")</f>
        <v/>
      </c>
      <c r="S27" s="30" t="str">
        <f ca="1">IF(COUNTIF(planning_general!J$4:J$104,$D27),INDIRECT("'planning_general'!AN"&amp;MATCH($D27,planning_general!J$4:J$104,0)+4-1),"")</f>
        <v>Production</v>
      </c>
      <c r="T27" s="30" t="str">
        <f ca="1">IF(COUNTIF(planning_general!K$4:K$104,$D27),INDIRECT("'planning_general'!AO"&amp;MATCH($D27,planning_general!K$4:K$104,0)+4-1),"")</f>
        <v/>
      </c>
      <c r="U27" s="30" t="str">
        <f ca="1">IF(COUNTIF(planning_general!L$4:L$104,$D27),INDIRECT("'planning_general'!AP"&amp;MATCH($D27,planning_general!L$4:L$104,0)+4-1),"")</f>
        <v>Production</v>
      </c>
      <c r="V27" s="30" t="str">
        <f ca="1">IF(COUNTIF(planning_general!M$4:M$104,$D27),INDIRECT("'planning_general'!AQ"&amp;MATCH($D27,planning_general!M$4:M$104,0)+4-1),"")</f>
        <v/>
      </c>
      <c r="W27" s="30" t="str">
        <f ca="1">IF(COUNTIF(planning_general!N$4:N$104,$D27),INDIRECT("'planning_general'!AR"&amp;MATCH($D27,planning_general!N$4:N$104,0)+4-1),"")</f>
        <v>Production</v>
      </c>
      <c r="X27" s="30" t="str">
        <f ca="1">IF(COUNTIF(planning_general!O$4:O$104,$D27),INDIRECT("'planning_general'!AS"&amp;MATCH($D27,planning_general!O$4:O$104,0)+4-1),"")</f>
        <v/>
      </c>
      <c r="Y27" s="30" t="str">
        <f ca="1">IF(COUNTIF(planning_general!P$4:P$104,$D27),INDIRECT("'planning_general'!AT"&amp;MATCH($D27,planning_general!P$4:P$104,0)+4-1),"")</f>
        <v>Production</v>
      </c>
      <c r="Z27" s="30" t="str">
        <f ca="1">IF(COUNTIF(planning_general!Q$4:Q$104,$D27),INDIRECT("'planning_general'!AU"&amp;MATCH($D27,planning_general!Q$4:Q$104,0)+4-1),"")</f>
        <v/>
      </c>
      <c r="AA27" s="30" t="str">
        <f ca="1">IF(COUNTIF(planning_general!R$4:R$104,$D27),INDIRECT("'planning_general'!AV"&amp;MATCH($D27,planning_general!R$4:R$104,0)+4-1),"")</f>
        <v>Production</v>
      </c>
      <c r="AB27" s="30" t="str">
        <f ca="1">IF(COUNTIF(planning_general!S$4:S$104,$D27),INDIRECT("'planning_general'!AW"&amp;MATCH($D27,planning_general!S$4:S$104,0)+4-1),"")</f>
        <v/>
      </c>
      <c r="AC27" s="30" t="str">
        <f ca="1">IF(COUNTIF(planning_general!T$4:T$104,$D27),INDIRECT("'planning_general'!AX"&amp;MATCH($D27,planning_general!T$4:T$104,0)+4-1),"")</f>
        <v>Production</v>
      </c>
      <c r="AD27" s="30" t="str">
        <f ca="1">IF(COUNTIF(planning_general!U$4:U$104,$D27),INDIRECT("'planning_general'!AY"&amp;MATCH($D27,planning_general!U$4:U$104,0)+4-1),"")</f>
        <v/>
      </c>
      <c r="AE27" s="30" t="str">
        <f ca="1">IF(COUNTIF(planning_general!V$4:V$104,$D27),INDIRECT("'planning_general'!AZ"&amp;MATCH($D27,planning_general!V$4:V$104,0)+4-1),"")</f>
        <v/>
      </c>
      <c r="AF27" s="30" t="str">
        <f ca="1">IF(COUNTIF(planning_general!W$4:W$104,$D27),INDIRECT("'planning_general'!BA"&amp;MATCH($D27,planning_general!W$4:W$104,0)+4-1),"")</f>
        <v/>
      </c>
      <c r="AG27" s="30" t="str">
        <f ca="1">IF(COUNTIF(planning_general!X$4:X$104,$D27),INDIRECT("'planning_general'!BB"&amp;MATCH($D27,planning_general!X$4:X$104,0)+4-1),"")</f>
        <v/>
      </c>
      <c r="AH27" s="30" t="str">
        <f ca="1">IF(COUNTIF(planning_general!Y$4:Y$104,$D27),INDIRECT("'planning_general'!BC"&amp;MATCH($D27,planning_general!Y$4:Y$104,0)+4-1),"")</f>
        <v/>
      </c>
      <c r="AI27" s="30" t="str">
        <f ca="1">IF(COUNTIF(planning_general!Z$4:Z$104,$D27),INDIRECT("'planning_general'!BD"&amp;MATCH($D27,planning_general!Z$4:Z$104,0)+4-1),"")</f>
        <v/>
      </c>
      <c r="AJ27" s="30" t="str">
        <f ca="1">IF(COUNTIF(planning_general!AA$4:AA$104,$D27),INDIRECT("'planning_general'!BE"&amp;MATCH($D27,planning_general!AA$4:AA$104,0)+4-1),"")</f>
        <v/>
      </c>
      <c r="AK27" s="30" t="str">
        <f ca="1">IF(COUNTIF(planning_general!AB$4:AB$104,$D27),INDIRECT("'planning_general'!BF"&amp;MATCH($D27,planning_general!AB$4:AB$104,0)+4-1),"")</f>
        <v/>
      </c>
      <c r="AL27" s="30" t="str">
        <f ca="1">IF(COUNTIF(planning_general!AC$4:AC$104,$D27),INDIRECT("'planning_general'!BG"&amp;MATCH($D27,planning_general!AC$4:AC$104,0)+4-1),"")</f>
        <v/>
      </c>
      <c r="AM27" s="30" t="str">
        <f ca="1">IF(COUNTIF(planning_general!AD$4:AD$104,$D27),INDIRECT("'planning_general'!BH"&amp;MATCH($D27,planning_general!AD$4:AD$104,0)+4-1),"")</f>
        <v/>
      </c>
      <c r="AN27" s="30" t="str">
        <f ca="1">IF(COUNTIF(planning_general!AE$4:AE$104,$D27),INDIRECT("'planning_general'!BI"&amp;MATCH($D27,planning_general!AE$4:AE$104,0)+4-1),"")</f>
        <v/>
      </c>
    </row>
    <row r="28" spans="1:40" ht="34.950000000000003" customHeight="1" x14ac:dyDescent="0.35">
      <c r="A28" s="35">
        <f>beneficiaires!$A27</f>
        <v>26</v>
      </c>
      <c r="B28" s="28" t="str">
        <f>beneficiaires!B27</f>
        <v>Mottaz</v>
      </c>
      <c r="C28" s="28" t="str">
        <f>beneficiaires!C27</f>
        <v>Mickaël</v>
      </c>
      <c r="D28" s="29" t="str">
        <f>beneficiaires!D27</f>
        <v>Mickaël_Mottaz</v>
      </c>
      <c r="E28" s="29" t="str">
        <f>beneficiaires!E27</f>
        <v>Mottaz_Mickaël</v>
      </c>
      <c r="F28" s="26">
        <f t="shared" si="1"/>
        <v>1</v>
      </c>
      <c r="G28" s="26" t="str">
        <f t="shared" si="1"/>
        <v/>
      </c>
      <c r="H28" s="26" t="str">
        <f t="shared" si="1"/>
        <v/>
      </c>
      <c r="I28" s="26" t="str">
        <f t="shared" si="1"/>
        <v/>
      </c>
      <c r="J28" s="26" t="str">
        <f t="shared" si="1"/>
        <v/>
      </c>
      <c r="K28" s="26" t="str">
        <f t="shared" si="1"/>
        <v/>
      </c>
      <c r="L28" s="26">
        <f>beneficiaires!J27</f>
        <v>40</v>
      </c>
      <c r="M28" s="30" t="str">
        <f ca="1">IF(COUNTIF(planning_general!D$4:D$104,$D28),INDIRECT("'planning_general'!AH"&amp;MATCH($D28,planning_general!D$4:D$104,0)+4-1),"")</f>
        <v/>
      </c>
      <c r="N28" s="30" t="str">
        <f ca="1">IF(COUNTIF(planning_general!E$4:E$104,$D28),INDIRECT("'planning_general'!AI"&amp;MATCH($D28,planning_general!E$4:E$104,0)+4-1),"")</f>
        <v/>
      </c>
      <c r="O28" s="30" t="str">
        <f ca="1">IF(COUNTIF(planning_general!F$4:F$104,$D28),INDIRECT("'planning_general'!AJ"&amp;MATCH($D28,planning_general!F$4:F$104,0)+4-1),"")</f>
        <v>Chauffeur</v>
      </c>
      <c r="P28" s="30" t="str">
        <f ca="1">IF(COUNTIF(planning_general!G$4:G$104,$D28),INDIRECT("'planning_general'!AK"&amp;MATCH($D28,planning_general!G$4:G$104,0)+4-1),"")</f>
        <v/>
      </c>
      <c r="Q28" s="30" t="str">
        <f ca="1">IF(COUNTIF(planning_general!H$4:H$104,$D28),INDIRECT("'planning_general'!AL"&amp;MATCH($D28,planning_general!H$4:H$104,0)+4-1),"")</f>
        <v>Chauffeur</v>
      </c>
      <c r="R28" s="30" t="str">
        <f ca="1">IF(COUNTIF(planning_general!I$4:I$104,$D28),INDIRECT("'planning_general'!AM"&amp;MATCH($D28,planning_general!I$4:I$104,0)+4-1),"")</f>
        <v/>
      </c>
      <c r="S28" s="30" t="str">
        <f ca="1">IF(COUNTIF(planning_general!J$4:J$104,$D28),INDIRECT("'planning_general'!AN"&amp;MATCH($D28,planning_general!J$4:J$104,0)+4-1),"")</f>
        <v>Chauffeur</v>
      </c>
      <c r="T28" s="30" t="str">
        <f ca="1">IF(COUNTIF(planning_general!K$4:K$104,$D28),INDIRECT("'planning_general'!AO"&amp;MATCH($D28,planning_general!K$4:K$104,0)+4-1),"")</f>
        <v/>
      </c>
      <c r="U28" s="30" t="str">
        <f ca="1">IF(COUNTIF(planning_general!L$4:L$104,$D28),INDIRECT("'planning_general'!AP"&amp;MATCH($D28,planning_general!L$4:L$104,0)+4-1),"")</f>
        <v/>
      </c>
      <c r="V28" s="30" t="str">
        <f ca="1">IF(COUNTIF(planning_general!M$4:M$104,$D28),INDIRECT("'planning_general'!AQ"&amp;MATCH($D28,planning_general!M$4:M$104,0)+4-1),"")</f>
        <v/>
      </c>
      <c r="W28" s="30" t="str">
        <f ca="1">IF(COUNTIF(planning_general!N$4:N$104,$D28),INDIRECT("'planning_general'!AR"&amp;MATCH($D28,planning_general!N$4:N$104,0)+4-1),"")</f>
        <v/>
      </c>
      <c r="X28" s="30" t="str">
        <f ca="1">IF(COUNTIF(planning_general!O$4:O$104,$D28),INDIRECT("'planning_general'!AS"&amp;MATCH($D28,planning_general!O$4:O$104,0)+4-1),"")</f>
        <v/>
      </c>
      <c r="Y28" s="30" t="str">
        <f ca="1">IF(COUNTIF(planning_general!P$4:P$104,$D28),INDIRECT("'planning_general'!AT"&amp;MATCH($D28,planning_general!P$4:P$104,0)+4-1),"")</f>
        <v/>
      </c>
      <c r="Z28" s="30" t="str">
        <f ca="1">IF(COUNTIF(planning_general!Q$4:Q$104,$D28),INDIRECT("'planning_general'!AU"&amp;MATCH($D28,planning_general!Q$4:Q$104,0)+4-1),"")</f>
        <v/>
      </c>
      <c r="AA28" s="30" t="str">
        <f ca="1">IF(COUNTIF(planning_general!R$4:R$104,$D28),INDIRECT("'planning_general'!AV"&amp;MATCH($D28,planning_general!R$4:R$104,0)+4-1),"")</f>
        <v>Chauffeur</v>
      </c>
      <c r="AB28" s="30" t="str">
        <f ca="1">IF(COUNTIF(planning_general!S$4:S$104,$D28),INDIRECT("'planning_general'!AW"&amp;MATCH($D28,planning_general!S$4:S$104,0)+4-1),"")</f>
        <v/>
      </c>
      <c r="AC28" s="30" t="str">
        <f ca="1">IF(COUNTIF(planning_general!T$4:T$104,$D28),INDIRECT("'planning_general'!AX"&amp;MATCH($D28,planning_general!T$4:T$104,0)+4-1),"")</f>
        <v/>
      </c>
      <c r="AD28" s="30" t="str">
        <f ca="1">IF(COUNTIF(planning_general!U$4:U$104,$D28),INDIRECT("'planning_general'!AY"&amp;MATCH($D28,planning_general!U$4:U$104,0)+4-1),"")</f>
        <v/>
      </c>
      <c r="AE28" s="30" t="str">
        <f ca="1">IF(COUNTIF(planning_general!V$4:V$104,$D28),INDIRECT("'planning_general'!AZ"&amp;MATCH($D28,planning_general!V$4:V$104,0)+4-1),"")</f>
        <v/>
      </c>
      <c r="AF28" s="30" t="str">
        <f ca="1">IF(COUNTIF(planning_general!W$4:W$104,$D28),INDIRECT("'planning_general'!BA"&amp;MATCH($D28,planning_general!W$4:W$104,0)+4-1),"")</f>
        <v/>
      </c>
      <c r="AG28" s="30" t="str">
        <f ca="1">IF(COUNTIF(planning_general!X$4:X$104,$D28),INDIRECT("'planning_general'!BB"&amp;MATCH($D28,planning_general!X$4:X$104,0)+4-1),"")</f>
        <v/>
      </c>
      <c r="AH28" s="30" t="str">
        <f ca="1">IF(COUNTIF(planning_general!Y$4:Y$104,$D28),INDIRECT("'planning_general'!BC"&amp;MATCH($D28,planning_general!Y$4:Y$104,0)+4-1),"")</f>
        <v/>
      </c>
      <c r="AI28" s="30" t="str">
        <f ca="1">IF(COUNTIF(planning_general!Z$4:Z$104,$D28),INDIRECT("'planning_general'!BD"&amp;MATCH($D28,planning_general!Z$4:Z$104,0)+4-1),"")</f>
        <v/>
      </c>
      <c r="AJ28" s="30" t="str">
        <f ca="1">IF(COUNTIF(planning_general!AA$4:AA$104,$D28),INDIRECT("'planning_general'!BE"&amp;MATCH($D28,planning_general!AA$4:AA$104,0)+4-1),"")</f>
        <v/>
      </c>
      <c r="AK28" s="30" t="str">
        <f ca="1">IF(COUNTIF(planning_general!AB$4:AB$104,$D28),INDIRECT("'planning_general'!BF"&amp;MATCH($D28,planning_general!AB$4:AB$104,0)+4-1),"")</f>
        <v/>
      </c>
      <c r="AL28" s="30" t="str">
        <f ca="1">IF(COUNTIF(planning_general!AC$4:AC$104,$D28),INDIRECT("'planning_general'!BG"&amp;MATCH($D28,planning_general!AC$4:AC$104,0)+4-1),"")</f>
        <v/>
      </c>
      <c r="AM28" s="30" t="str">
        <f ca="1">IF(COUNTIF(planning_general!AD$4:AD$104,$D28),INDIRECT("'planning_general'!BH"&amp;MATCH($D28,planning_general!AD$4:AD$104,0)+4-1),"")</f>
        <v/>
      </c>
      <c r="AN28" s="30" t="str">
        <f ca="1">IF(COUNTIF(planning_general!AE$4:AE$104,$D28),INDIRECT("'planning_general'!BI"&amp;MATCH($D28,planning_general!AE$4:AE$104,0)+4-1),"")</f>
        <v/>
      </c>
    </row>
    <row r="29" spans="1:40" ht="34.950000000000003" customHeight="1" x14ac:dyDescent="0.35">
      <c r="A29" s="35">
        <f>beneficiaires!$A28</f>
        <v>27</v>
      </c>
      <c r="B29" s="28" t="str">
        <f>beneficiaires!B28</f>
        <v>Noulette</v>
      </c>
      <c r="C29" s="28" t="str">
        <f>beneficiaires!C28</f>
        <v>Aurelie</v>
      </c>
      <c r="D29" s="29" t="str">
        <f>beneficiaires!D28</f>
        <v>Aurelie_Noulette</v>
      </c>
      <c r="E29" s="29" t="str">
        <f>beneficiaires!E28</f>
        <v>Noulette_Aurelie</v>
      </c>
      <c r="F29" s="26" t="str">
        <f t="shared" si="1"/>
        <v/>
      </c>
      <c r="G29" s="26" t="str">
        <f t="shared" si="1"/>
        <v/>
      </c>
      <c r="H29" s="26">
        <f t="shared" si="1"/>
        <v>1</v>
      </c>
      <c r="I29" s="26" t="str">
        <f t="shared" si="1"/>
        <v/>
      </c>
      <c r="J29" s="26" t="str">
        <f t="shared" si="1"/>
        <v/>
      </c>
      <c r="K29" s="26" t="str">
        <f t="shared" si="1"/>
        <v/>
      </c>
      <c r="L29" s="26">
        <f>beneficiaires!J28</f>
        <v>100</v>
      </c>
      <c r="M29" s="30" t="str">
        <f ca="1">IF(COUNTIF(planning_general!D$4:D$104,$D29),INDIRECT("'planning_general'!AH"&amp;MATCH($D29,planning_general!D$4:D$104,0)+4-1),"")</f>
        <v>Cuisine</v>
      </c>
      <c r="N29" s="30" t="str">
        <f ca="1">IF(COUNTIF(planning_general!E$4:E$104,$D29),INDIRECT("'planning_general'!AI"&amp;MATCH($D29,planning_general!E$4:E$104,0)+4-1),"")</f>
        <v/>
      </c>
      <c r="O29" s="30" t="str">
        <f ca="1">IF(COUNTIF(planning_general!F$4:F$104,$D29),INDIRECT("'planning_general'!AJ"&amp;MATCH($D29,planning_general!F$4:F$104,0)+4-1),"")</f>
        <v>Cuisine</v>
      </c>
      <c r="P29" s="30" t="str">
        <f ca="1">IF(COUNTIF(planning_general!G$4:G$104,$D29),INDIRECT("'planning_general'!AK"&amp;MATCH($D29,planning_general!G$4:G$104,0)+4-1),"")</f>
        <v/>
      </c>
      <c r="Q29" s="30" t="str">
        <f ca="1">IF(COUNTIF(planning_general!H$4:H$104,$D29),INDIRECT("'planning_general'!AL"&amp;MATCH($D29,planning_general!H$4:H$104,0)+4-1),"")</f>
        <v>Cuisine</v>
      </c>
      <c r="R29" s="30" t="str">
        <f ca="1">IF(COUNTIF(planning_general!I$4:I$104,$D29),INDIRECT("'planning_general'!AM"&amp;MATCH($D29,planning_general!I$4:I$104,0)+4-1),"")</f>
        <v/>
      </c>
      <c r="S29" s="30" t="str">
        <f ca="1">IF(COUNTIF(planning_general!J$4:J$104,$D29),INDIRECT("'planning_general'!AN"&amp;MATCH($D29,planning_general!J$4:J$104,0)+4-1),"")</f>
        <v>Cuisine</v>
      </c>
      <c r="T29" s="30" t="str">
        <f ca="1">IF(COUNTIF(planning_general!K$4:K$104,$D29),INDIRECT("'planning_general'!AO"&amp;MATCH($D29,planning_general!K$4:K$104,0)+4-1),"")</f>
        <v/>
      </c>
      <c r="U29" s="30" t="str">
        <f ca="1">IF(COUNTIF(planning_general!L$4:L$104,$D29),INDIRECT("'planning_general'!AP"&amp;MATCH($D29,planning_general!L$4:L$104,0)+4-1),"")</f>
        <v>Cuisine</v>
      </c>
      <c r="V29" s="30" t="str">
        <f ca="1">IF(COUNTIF(planning_general!M$4:M$104,$D29),INDIRECT("'planning_general'!AQ"&amp;MATCH($D29,planning_general!M$4:M$104,0)+4-1),"")</f>
        <v/>
      </c>
      <c r="W29" s="30" t="str">
        <f ca="1">IF(COUNTIF(planning_general!N$4:N$104,$D29),INDIRECT("'planning_general'!AR"&amp;MATCH($D29,planning_general!N$4:N$104,0)+4-1),"")</f>
        <v>Cuisine</v>
      </c>
      <c r="X29" s="30" t="str">
        <f ca="1">IF(COUNTIF(planning_general!O$4:O$104,$D29),INDIRECT("'planning_general'!AS"&amp;MATCH($D29,planning_general!O$4:O$104,0)+4-1),"")</f>
        <v/>
      </c>
      <c r="Y29" s="30" t="str">
        <f ca="1">IF(COUNTIF(planning_general!P$4:P$104,$D29),INDIRECT("'planning_general'!AT"&amp;MATCH($D29,planning_general!P$4:P$104,0)+4-1),"")</f>
        <v>Cuisine</v>
      </c>
      <c r="Z29" s="30" t="str">
        <f ca="1">IF(COUNTIF(planning_general!Q$4:Q$104,$D29),INDIRECT("'planning_general'!AU"&amp;MATCH($D29,planning_general!Q$4:Q$104,0)+4-1),"")</f>
        <v/>
      </c>
      <c r="AA29" s="30" t="str">
        <f ca="1">IF(COUNTIF(planning_general!R$4:R$104,$D29),INDIRECT("'planning_general'!AV"&amp;MATCH($D29,planning_general!R$4:R$104,0)+4-1),"")</f>
        <v>Cuisine</v>
      </c>
      <c r="AB29" s="30" t="str">
        <f ca="1">IF(COUNTIF(planning_general!S$4:S$104,$D29),INDIRECT("'planning_general'!AW"&amp;MATCH($D29,planning_general!S$4:S$104,0)+4-1),"")</f>
        <v/>
      </c>
      <c r="AC29" s="30" t="str">
        <f ca="1">IF(COUNTIF(planning_general!T$4:T$104,$D29),INDIRECT("'planning_general'!AX"&amp;MATCH($D29,planning_general!T$4:T$104,0)+4-1),"")</f>
        <v>Cuisine</v>
      </c>
      <c r="AD29" s="30" t="str">
        <f ca="1">IF(COUNTIF(planning_general!U$4:U$104,$D29),INDIRECT("'planning_general'!AY"&amp;MATCH($D29,planning_general!U$4:U$104,0)+4-1),"")</f>
        <v/>
      </c>
      <c r="AE29" s="30" t="str">
        <f ca="1">IF(COUNTIF(planning_general!V$4:V$104,$D29),INDIRECT("'planning_general'!AZ"&amp;MATCH($D29,planning_general!V$4:V$104,0)+4-1),"")</f>
        <v>Cuisine</v>
      </c>
      <c r="AF29" s="30" t="str">
        <f ca="1">IF(COUNTIF(planning_general!W$4:W$104,$D29),INDIRECT("'planning_general'!BA"&amp;MATCH($D29,planning_general!W$4:W$104,0)+4-1),"")</f>
        <v/>
      </c>
      <c r="AG29" s="30" t="str">
        <f ca="1">IF(COUNTIF(planning_general!X$4:X$104,$D29),INDIRECT("'planning_general'!BB"&amp;MATCH($D29,planning_general!X$4:X$104,0)+4-1),"")</f>
        <v/>
      </c>
      <c r="AH29" s="30" t="str">
        <f ca="1">IF(COUNTIF(planning_general!Y$4:Y$104,$D29),INDIRECT("'planning_general'!BC"&amp;MATCH($D29,planning_general!Y$4:Y$104,0)+4-1),"")</f>
        <v/>
      </c>
      <c r="AI29" s="30" t="str">
        <f ca="1">IF(COUNTIF(planning_general!Z$4:Z$104,$D29),INDIRECT("'planning_general'!BD"&amp;MATCH($D29,planning_general!Z$4:Z$104,0)+4-1),"")</f>
        <v/>
      </c>
      <c r="AJ29" s="30" t="str">
        <f ca="1">IF(COUNTIF(planning_general!AA$4:AA$104,$D29),INDIRECT("'planning_general'!BE"&amp;MATCH($D29,planning_general!AA$4:AA$104,0)+4-1),"")</f>
        <v/>
      </c>
      <c r="AK29" s="30" t="str">
        <f ca="1">IF(COUNTIF(planning_general!AB$4:AB$104,$D29),INDIRECT("'planning_general'!BF"&amp;MATCH($D29,planning_general!AB$4:AB$104,0)+4-1),"")</f>
        <v/>
      </c>
      <c r="AL29" s="30" t="str">
        <f ca="1">IF(COUNTIF(planning_general!AC$4:AC$104,$D29),INDIRECT("'planning_general'!BG"&amp;MATCH($D29,planning_general!AC$4:AC$104,0)+4-1),"")</f>
        <v/>
      </c>
      <c r="AM29" s="30" t="str">
        <f ca="1">IF(COUNTIF(planning_general!AD$4:AD$104,$D29),INDIRECT("'planning_general'!BH"&amp;MATCH($D29,planning_general!AD$4:AD$104,0)+4-1),"")</f>
        <v/>
      </c>
      <c r="AN29" s="30" t="str">
        <f ca="1">IF(COUNTIF(planning_general!AE$4:AE$104,$D29),INDIRECT("'planning_general'!BI"&amp;MATCH($D29,planning_general!AE$4:AE$104,0)+4-1),"")</f>
        <v/>
      </c>
    </row>
    <row r="30" spans="1:40" ht="34.950000000000003" customHeight="1" x14ac:dyDescent="0.35">
      <c r="A30" s="35">
        <f>beneficiaires!$A29</f>
        <v>28</v>
      </c>
      <c r="B30" s="28" t="str">
        <f>beneficiaires!B29</f>
        <v>Nyedegger</v>
      </c>
      <c r="C30" s="28" t="str">
        <f>beneficiaires!C29</f>
        <v>Sylvianne</v>
      </c>
      <c r="D30" s="29" t="str">
        <f>beneficiaires!D29</f>
        <v>Sylvianne_Nyedegger</v>
      </c>
      <c r="E30" s="29" t="str">
        <f>beneficiaires!E29</f>
        <v>Nyedegger_Sylvianne</v>
      </c>
      <c r="F30" s="26" t="str">
        <f t="shared" si="1"/>
        <v/>
      </c>
      <c r="G30" s="26" t="str">
        <f t="shared" si="1"/>
        <v/>
      </c>
      <c r="H30" s="26" t="str">
        <f t="shared" si="1"/>
        <v/>
      </c>
      <c r="I30" s="26">
        <f t="shared" si="1"/>
        <v>1</v>
      </c>
      <c r="J30" s="26" t="str">
        <f t="shared" si="1"/>
        <v/>
      </c>
      <c r="K30" s="26" t="str">
        <f t="shared" si="1"/>
        <v/>
      </c>
      <c r="L30" s="26">
        <f>beneficiaires!J29</f>
        <v>20</v>
      </c>
      <c r="M30" s="30" t="str">
        <f ca="1">IF(COUNTIF(planning_general!D$4:D$104,$D30),INDIRECT("'planning_general'!AH"&amp;MATCH($D30,planning_general!D$4:D$104,0)+4-1),"")</f>
        <v/>
      </c>
      <c r="N30" s="30" t="str">
        <f ca="1">IF(COUNTIF(planning_general!E$4:E$104,$D30),INDIRECT("'planning_general'!AI"&amp;MATCH($D30,planning_general!E$4:E$104,0)+4-1),"")</f>
        <v/>
      </c>
      <c r="O30" s="30" t="str">
        <f ca="1">IF(COUNTIF(planning_general!F$4:F$104,$D30),INDIRECT("'planning_general'!AJ"&amp;MATCH($D30,planning_general!F$4:F$104,0)+4-1),"")</f>
        <v/>
      </c>
      <c r="P30" s="30" t="str">
        <f ca="1">IF(COUNTIF(planning_general!G$4:G$104,$D30),INDIRECT("'planning_general'!AK"&amp;MATCH($D30,planning_general!G$4:G$104,0)+4-1),"")</f>
        <v/>
      </c>
      <c r="Q30" s="30" t="str">
        <f ca="1">IF(COUNTIF(planning_general!H$4:H$104,$D30),INDIRECT("'planning_general'!AL"&amp;MATCH($D30,planning_general!H$4:H$104,0)+4-1),"")</f>
        <v/>
      </c>
      <c r="R30" s="30" t="str">
        <f ca="1">IF(COUNTIF(planning_general!I$4:I$104,$D30),INDIRECT("'planning_general'!AM"&amp;MATCH($D30,planning_general!I$4:I$104,0)+4-1),"")</f>
        <v/>
      </c>
      <c r="S30" s="30" t="str">
        <f ca="1">IF(COUNTIF(planning_general!J$4:J$104,$D30),INDIRECT("'planning_general'!AN"&amp;MATCH($D30,planning_general!J$4:J$104,0)+4-1),"")</f>
        <v>REA</v>
      </c>
      <c r="T30" s="30" t="str">
        <f ca="1">IF(COUNTIF(planning_general!K$4:K$104,$D30),INDIRECT("'planning_general'!AO"&amp;MATCH($D30,planning_general!K$4:K$104,0)+4-1),"")</f>
        <v/>
      </c>
      <c r="U30" s="30" t="str">
        <f ca="1">IF(COUNTIF(planning_general!L$4:L$104,$D30),INDIRECT("'planning_general'!AP"&amp;MATCH($D30,planning_general!L$4:L$104,0)+4-1),"")</f>
        <v/>
      </c>
      <c r="V30" s="30" t="str">
        <f ca="1">IF(COUNTIF(planning_general!M$4:M$104,$D30),INDIRECT("'planning_general'!AQ"&amp;MATCH($D30,planning_general!M$4:M$104,0)+4-1),"")</f>
        <v/>
      </c>
      <c r="W30" s="30" t="str">
        <f ca="1">IF(COUNTIF(planning_general!N$4:N$104,$D30),INDIRECT("'planning_general'!AR"&amp;MATCH($D30,planning_general!N$4:N$104,0)+4-1),"")</f>
        <v/>
      </c>
      <c r="X30" s="30" t="str">
        <f ca="1">IF(COUNTIF(planning_general!O$4:O$104,$D30),INDIRECT("'planning_general'!AS"&amp;MATCH($D30,planning_general!O$4:O$104,0)+4-1),"")</f>
        <v/>
      </c>
      <c r="Y30" s="30" t="str">
        <f ca="1">IF(COUNTIF(planning_general!P$4:P$104,$D30),INDIRECT("'planning_general'!AT"&amp;MATCH($D30,planning_general!P$4:P$104,0)+4-1),"")</f>
        <v/>
      </c>
      <c r="Z30" s="30" t="str">
        <f ca="1">IF(COUNTIF(planning_general!Q$4:Q$104,$D30),INDIRECT("'planning_general'!AU"&amp;MATCH($D30,planning_general!Q$4:Q$104,0)+4-1),"")</f>
        <v/>
      </c>
      <c r="AA30" s="30" t="str">
        <f ca="1">IF(COUNTIF(planning_general!R$4:R$104,$D30),INDIRECT("'planning_general'!AV"&amp;MATCH($D30,planning_general!R$4:R$104,0)+4-1),"")</f>
        <v/>
      </c>
      <c r="AB30" s="30" t="str">
        <f ca="1">IF(COUNTIF(planning_general!S$4:S$104,$D30),INDIRECT("'planning_general'!AW"&amp;MATCH($D30,planning_general!S$4:S$104,0)+4-1),"")</f>
        <v/>
      </c>
      <c r="AC30" s="30" t="str">
        <f ca="1">IF(COUNTIF(planning_general!T$4:T$104,$D30),INDIRECT("'planning_general'!AX"&amp;MATCH($D30,planning_general!T$4:T$104,0)+4-1),"")</f>
        <v/>
      </c>
      <c r="AD30" s="30" t="str">
        <f ca="1">IF(COUNTIF(planning_general!U$4:U$104,$D30),INDIRECT("'planning_general'!AY"&amp;MATCH($D30,planning_general!U$4:U$104,0)+4-1),"")</f>
        <v/>
      </c>
      <c r="AE30" s="30" t="str">
        <f ca="1">IF(COUNTIF(planning_general!V$4:V$104,$D30),INDIRECT("'planning_general'!AZ"&amp;MATCH($D30,planning_general!V$4:V$104,0)+4-1),"")</f>
        <v>Animation</v>
      </c>
      <c r="AF30" s="30" t="str">
        <f ca="1">IF(COUNTIF(planning_general!W$4:W$104,$D30),INDIRECT("'planning_general'!BA"&amp;MATCH($D30,planning_general!W$4:W$104,0)+4-1),"")</f>
        <v/>
      </c>
      <c r="AG30" s="30" t="str">
        <f ca="1">IF(COUNTIF(planning_general!X$4:X$104,$D30),INDIRECT("'planning_general'!BB"&amp;MATCH($D30,planning_general!X$4:X$104,0)+4-1),"")</f>
        <v/>
      </c>
      <c r="AH30" s="30" t="str">
        <f ca="1">IF(COUNTIF(planning_general!Y$4:Y$104,$D30),INDIRECT("'planning_general'!BC"&amp;MATCH($D30,planning_general!Y$4:Y$104,0)+4-1),"")</f>
        <v/>
      </c>
      <c r="AI30" s="30" t="str">
        <f ca="1">IF(COUNTIF(planning_general!Z$4:Z$104,$D30),INDIRECT("'planning_general'!BD"&amp;MATCH($D30,planning_general!Z$4:Z$104,0)+4-1),"")</f>
        <v/>
      </c>
      <c r="AJ30" s="30" t="str">
        <f ca="1">IF(COUNTIF(planning_general!AA$4:AA$104,$D30),INDIRECT("'planning_general'!BE"&amp;MATCH($D30,planning_general!AA$4:AA$104,0)+4-1),"")</f>
        <v/>
      </c>
      <c r="AK30" s="30" t="str">
        <f ca="1">IF(COUNTIF(planning_general!AB$4:AB$104,$D30),INDIRECT("'planning_general'!BF"&amp;MATCH($D30,planning_general!AB$4:AB$104,0)+4-1),"")</f>
        <v/>
      </c>
      <c r="AL30" s="30" t="str">
        <f ca="1">IF(COUNTIF(planning_general!AC$4:AC$104,$D30),INDIRECT("'planning_general'!BG"&amp;MATCH($D30,planning_general!AC$4:AC$104,0)+4-1),"")</f>
        <v/>
      </c>
      <c r="AM30" s="30" t="str">
        <f ca="1">IF(COUNTIF(planning_general!AD$4:AD$104,$D30),INDIRECT("'planning_general'!BH"&amp;MATCH($D30,planning_general!AD$4:AD$104,0)+4-1),"")</f>
        <v/>
      </c>
      <c r="AN30" s="30" t="str">
        <f ca="1">IF(COUNTIF(planning_general!AE$4:AE$104,$D30),INDIRECT("'planning_general'!BI"&amp;MATCH($D30,planning_general!AE$4:AE$104,0)+4-1),"")</f>
        <v/>
      </c>
    </row>
    <row r="31" spans="1:40" ht="34.950000000000003" customHeight="1" x14ac:dyDescent="0.35">
      <c r="A31" s="35">
        <f>beneficiaires!$A30</f>
        <v>29</v>
      </c>
      <c r="B31" s="28" t="str">
        <f>beneficiaires!B30</f>
        <v>Pacaux</v>
      </c>
      <c r="C31" s="28" t="str">
        <f>beneficiaires!C30</f>
        <v>Emilie</v>
      </c>
      <c r="D31" s="29" t="str">
        <f>beneficiaires!D30</f>
        <v>Emilie_Pacaux</v>
      </c>
      <c r="E31" s="29" t="str">
        <f>beneficiaires!E30</f>
        <v>Pacaux_Emilie</v>
      </c>
      <c r="F31" s="26" t="str">
        <f t="shared" si="1"/>
        <v/>
      </c>
      <c r="G31" s="26">
        <f t="shared" si="1"/>
        <v>1</v>
      </c>
      <c r="H31" s="26" t="str">
        <f t="shared" si="1"/>
        <v/>
      </c>
      <c r="I31" s="26" t="str">
        <f t="shared" si="1"/>
        <v/>
      </c>
      <c r="J31" s="26" t="str">
        <f t="shared" si="1"/>
        <v/>
      </c>
      <c r="K31" s="26" t="str">
        <f t="shared" si="1"/>
        <v/>
      </c>
      <c r="L31" s="26">
        <f>beneficiaires!J30</f>
        <v>60</v>
      </c>
      <c r="M31" s="30" t="str">
        <f ca="1">IF(COUNTIF(planning_general!D$4:D$104,$D31),INDIRECT("'planning_general'!AH"&amp;MATCH($D31,planning_general!D$4:D$104,0)+4-1),"")</f>
        <v>Réception</v>
      </c>
      <c r="N31" s="30" t="str">
        <f ca="1">IF(COUNTIF(planning_general!E$4:E$104,$D31),INDIRECT("'planning_general'!AI"&amp;MATCH($D31,planning_general!E$4:E$104,0)+4-1),"")</f>
        <v/>
      </c>
      <c r="O31" s="30" t="str">
        <f ca="1">IF(COUNTIF(planning_general!F$4:F$104,$D31),INDIRECT("'planning_general'!AJ"&amp;MATCH($D31,planning_general!F$4:F$104,0)+4-1),"")</f>
        <v/>
      </c>
      <c r="P31" s="30" t="str">
        <f ca="1">IF(COUNTIF(planning_general!G$4:G$104,$D31),INDIRECT("'planning_general'!AK"&amp;MATCH($D31,planning_general!G$4:G$104,0)+4-1),"")</f>
        <v/>
      </c>
      <c r="Q31" s="30" t="str">
        <f ca="1">IF(COUNTIF(planning_general!H$4:H$104,$D31),INDIRECT("'planning_general'!AL"&amp;MATCH($D31,planning_general!H$4:H$104,0)+4-1),"")</f>
        <v>Réception</v>
      </c>
      <c r="R31" s="30" t="str">
        <f ca="1">IF(COUNTIF(planning_general!I$4:I$104,$D31),INDIRECT("'planning_general'!AM"&amp;MATCH($D31,planning_general!I$4:I$104,0)+4-1),"")</f>
        <v/>
      </c>
      <c r="S31" s="30" t="str">
        <f ca="1">IF(COUNTIF(planning_general!J$4:J$104,$D31),INDIRECT("'planning_general'!AN"&amp;MATCH($D31,planning_general!J$4:J$104,0)+4-1),"")</f>
        <v>Réception</v>
      </c>
      <c r="T31" s="30" t="str">
        <f ca="1">IF(COUNTIF(planning_general!K$4:K$104,$D31),INDIRECT("'planning_general'!AO"&amp;MATCH($D31,planning_general!K$4:K$104,0)+4-1),"")</f>
        <v/>
      </c>
      <c r="U31" s="30" t="str">
        <f ca="1">IF(COUNTIF(planning_general!L$4:L$104,$D31),INDIRECT("'planning_general'!AP"&amp;MATCH($D31,planning_general!L$4:L$104,0)+4-1),"")</f>
        <v>Réception</v>
      </c>
      <c r="V31" s="30" t="str">
        <f ca="1">IF(COUNTIF(planning_general!M$4:M$104,$D31),INDIRECT("'planning_general'!AQ"&amp;MATCH($D31,planning_general!M$4:M$104,0)+4-1),"")</f>
        <v/>
      </c>
      <c r="W31" s="30" t="str">
        <f ca="1">IF(COUNTIF(planning_general!N$4:N$104,$D31),INDIRECT("'planning_general'!AR"&amp;MATCH($D31,planning_general!N$4:N$104,0)+4-1),"")</f>
        <v/>
      </c>
      <c r="X31" s="30" t="str">
        <f ca="1">IF(COUNTIF(planning_general!O$4:O$104,$D31),INDIRECT("'planning_general'!AS"&amp;MATCH($D31,planning_general!O$4:O$104,0)+4-1),"")</f>
        <v/>
      </c>
      <c r="Y31" s="30" t="str">
        <f ca="1">IF(COUNTIF(planning_general!P$4:P$104,$D31),INDIRECT("'planning_general'!AT"&amp;MATCH($D31,planning_general!P$4:P$104,0)+4-1),"")</f>
        <v>Réception</v>
      </c>
      <c r="Z31" s="30" t="str">
        <f ca="1">IF(COUNTIF(planning_general!Q$4:Q$104,$D31),INDIRECT("'planning_general'!AU"&amp;MATCH($D31,planning_general!Q$4:Q$104,0)+4-1),"")</f>
        <v/>
      </c>
      <c r="AA31" s="30" t="str">
        <f ca="1">IF(COUNTIF(planning_general!R$4:R$104,$D31),INDIRECT("'planning_general'!AV"&amp;MATCH($D31,planning_general!R$4:R$104,0)+4-1),"")</f>
        <v>Réception</v>
      </c>
      <c r="AB31" s="30" t="str">
        <f ca="1">IF(COUNTIF(planning_general!S$4:S$104,$D31),INDIRECT("'planning_general'!AW"&amp;MATCH($D31,planning_general!S$4:S$104,0)+4-1),"")</f>
        <v/>
      </c>
      <c r="AC31" s="30" t="str">
        <f ca="1">IF(COUNTIF(planning_general!T$4:T$104,$D31),INDIRECT("'planning_general'!AX"&amp;MATCH($D31,planning_general!T$4:T$104,0)+4-1),"")</f>
        <v/>
      </c>
      <c r="AD31" s="30" t="str">
        <f ca="1">IF(COUNTIF(planning_general!U$4:U$104,$D31),INDIRECT("'planning_general'!AY"&amp;MATCH($D31,planning_general!U$4:U$104,0)+4-1),"")</f>
        <v/>
      </c>
      <c r="AE31" s="30" t="str">
        <f ca="1">IF(COUNTIF(planning_general!V$4:V$104,$D31),INDIRECT("'planning_general'!AZ"&amp;MATCH($D31,planning_general!V$4:V$104,0)+4-1),"")</f>
        <v/>
      </c>
      <c r="AF31" s="30" t="str">
        <f ca="1">IF(COUNTIF(planning_general!W$4:W$104,$D31),INDIRECT("'planning_general'!BA"&amp;MATCH($D31,planning_general!W$4:W$104,0)+4-1),"")</f>
        <v/>
      </c>
      <c r="AG31" s="30" t="str">
        <f ca="1">IF(COUNTIF(planning_general!X$4:X$104,$D31),INDIRECT("'planning_general'!BB"&amp;MATCH($D31,planning_general!X$4:X$104,0)+4-1),"")</f>
        <v/>
      </c>
      <c r="AH31" s="30" t="str">
        <f ca="1">IF(COUNTIF(planning_general!Y$4:Y$104,$D31),INDIRECT("'planning_general'!BC"&amp;MATCH($D31,planning_general!Y$4:Y$104,0)+4-1),"")</f>
        <v/>
      </c>
      <c r="AI31" s="30" t="str">
        <f ca="1">IF(COUNTIF(planning_general!Z$4:Z$104,$D31),INDIRECT("'planning_general'!BD"&amp;MATCH($D31,planning_general!Z$4:Z$104,0)+4-1),"")</f>
        <v/>
      </c>
      <c r="AJ31" s="30" t="str">
        <f ca="1">IF(COUNTIF(planning_general!AA$4:AA$104,$D31),INDIRECT("'planning_general'!BE"&amp;MATCH($D31,planning_general!AA$4:AA$104,0)+4-1),"")</f>
        <v/>
      </c>
      <c r="AK31" s="30" t="str">
        <f ca="1">IF(COUNTIF(planning_general!AB$4:AB$104,$D31),INDIRECT("'planning_general'!BF"&amp;MATCH($D31,planning_general!AB$4:AB$104,0)+4-1),"")</f>
        <v/>
      </c>
      <c r="AL31" s="30" t="str">
        <f ca="1">IF(COUNTIF(planning_general!AC$4:AC$104,$D31),INDIRECT("'planning_general'!BG"&amp;MATCH($D31,planning_general!AC$4:AC$104,0)+4-1),"")</f>
        <v/>
      </c>
      <c r="AM31" s="30" t="str">
        <f ca="1">IF(COUNTIF(planning_general!AD$4:AD$104,$D31),INDIRECT("'planning_general'!BH"&amp;MATCH($D31,planning_general!AD$4:AD$104,0)+4-1),"")</f>
        <v/>
      </c>
      <c r="AN31" s="30" t="str">
        <f ca="1">IF(COUNTIF(planning_general!AE$4:AE$104,$D31),INDIRECT("'planning_general'!BI"&amp;MATCH($D31,planning_general!AE$4:AE$104,0)+4-1),"")</f>
        <v/>
      </c>
    </row>
    <row r="32" spans="1:40" ht="34.950000000000003" customHeight="1" x14ac:dyDescent="0.35">
      <c r="A32" s="35">
        <f>beneficiaires!$A31</f>
        <v>30</v>
      </c>
      <c r="B32" s="28" t="str">
        <f>beneficiaires!B31</f>
        <v>Piguet</v>
      </c>
      <c r="C32" s="28" t="str">
        <f>beneficiaires!C31</f>
        <v>Sophie</v>
      </c>
      <c r="D32" s="29" t="str">
        <f>beneficiaires!D31</f>
        <v>Sophie_Piguet</v>
      </c>
      <c r="E32" s="29" t="str">
        <f>beneficiaires!E31</f>
        <v>Piguet_Sophie</v>
      </c>
      <c r="F32" s="26">
        <f t="shared" si="1"/>
        <v>1</v>
      </c>
      <c r="G32" s="26" t="str">
        <f t="shared" si="1"/>
        <v/>
      </c>
      <c r="H32" s="26" t="str">
        <f t="shared" si="1"/>
        <v/>
      </c>
      <c r="I32" s="26" t="str">
        <f t="shared" si="1"/>
        <v/>
      </c>
      <c r="J32" s="26" t="str">
        <f t="shared" si="1"/>
        <v/>
      </c>
      <c r="K32" s="26" t="str">
        <f t="shared" si="1"/>
        <v/>
      </c>
      <c r="L32" s="26">
        <f>beneficiaires!J31</f>
        <v>40</v>
      </c>
      <c r="M32" s="30" t="str">
        <f ca="1">IF(COUNTIF(planning_general!D$4:D$104,$D32),INDIRECT("'planning_general'!AH"&amp;MATCH($D32,planning_general!D$4:D$104,0)+4-1),"")</f>
        <v>Production</v>
      </c>
      <c r="N32" s="30" t="str">
        <f ca="1">IF(COUNTIF(planning_general!E$4:E$104,$D32),INDIRECT("'planning_general'!AI"&amp;MATCH($D32,planning_general!E$4:E$104,0)+4-1),"")</f>
        <v/>
      </c>
      <c r="O32" s="30" t="str">
        <f ca="1">IF(COUNTIF(planning_general!F$4:F$104,$D32),INDIRECT("'planning_general'!AJ"&amp;MATCH($D32,planning_general!F$4:F$104,0)+4-1),"")</f>
        <v/>
      </c>
      <c r="P32" s="30" t="str">
        <f ca="1">IF(COUNTIF(planning_general!G$4:G$104,$D32),INDIRECT("'planning_general'!AK"&amp;MATCH($D32,planning_general!G$4:G$104,0)+4-1),"")</f>
        <v/>
      </c>
      <c r="Q32" s="30" t="str">
        <f ca="1">IF(COUNTIF(planning_general!H$4:H$104,$D32),INDIRECT("'planning_general'!AL"&amp;MATCH($D32,planning_general!H$4:H$104,0)+4-1),"")</f>
        <v/>
      </c>
      <c r="R32" s="30" t="str">
        <f ca="1">IF(COUNTIF(planning_general!I$4:I$104,$D32),INDIRECT("'planning_general'!AM"&amp;MATCH($D32,planning_general!I$4:I$104,0)+4-1),"")</f>
        <v/>
      </c>
      <c r="S32" s="30" t="str">
        <f ca="1">IF(COUNTIF(planning_general!J$4:J$104,$D32),INDIRECT("'planning_general'!AN"&amp;MATCH($D32,planning_general!J$4:J$104,0)+4-1),"")</f>
        <v>Production</v>
      </c>
      <c r="T32" s="30" t="str">
        <f ca="1">IF(COUNTIF(planning_general!K$4:K$104,$D32),INDIRECT("'planning_general'!AO"&amp;MATCH($D32,planning_general!K$4:K$104,0)+4-1),"")</f>
        <v/>
      </c>
      <c r="U32" s="30" t="str">
        <f ca="1">IF(COUNTIF(planning_general!L$4:L$104,$D32),INDIRECT("'planning_general'!AP"&amp;MATCH($D32,planning_general!L$4:L$104,0)+4-1),"")</f>
        <v/>
      </c>
      <c r="V32" s="30" t="str">
        <f ca="1">IF(COUNTIF(planning_general!M$4:M$104,$D32),INDIRECT("'planning_general'!AQ"&amp;MATCH($D32,planning_general!M$4:M$104,0)+4-1),"")</f>
        <v/>
      </c>
      <c r="W32" s="30" t="str">
        <f ca="1">IF(COUNTIF(planning_general!N$4:N$104,$D32),INDIRECT("'planning_general'!AR"&amp;MATCH($D32,planning_general!N$4:N$104,0)+4-1),"")</f>
        <v/>
      </c>
      <c r="X32" s="30" t="str">
        <f ca="1">IF(COUNTIF(planning_general!O$4:O$104,$D32),INDIRECT("'planning_general'!AS"&amp;MATCH($D32,planning_general!O$4:O$104,0)+4-1),"")</f>
        <v/>
      </c>
      <c r="Y32" s="30" t="str">
        <f ca="1">IF(COUNTIF(planning_general!P$4:P$104,$D32),INDIRECT("'planning_general'!AT"&amp;MATCH($D32,planning_general!P$4:P$104,0)+4-1),"")</f>
        <v>Production</v>
      </c>
      <c r="Z32" s="30" t="str">
        <f ca="1">IF(COUNTIF(planning_general!Q$4:Q$104,$D32),INDIRECT("'planning_general'!AU"&amp;MATCH($D32,planning_general!Q$4:Q$104,0)+4-1),"")</f>
        <v/>
      </c>
      <c r="AA32" s="30" t="str">
        <f ca="1">IF(COUNTIF(planning_general!R$4:R$104,$D32),INDIRECT("'planning_general'!AV"&amp;MATCH($D32,planning_general!R$4:R$104,0)+4-1),"")</f>
        <v/>
      </c>
      <c r="AB32" s="30" t="str">
        <f ca="1">IF(COUNTIF(planning_general!S$4:S$104,$D32),INDIRECT("'planning_general'!AW"&amp;MATCH($D32,planning_general!S$4:S$104,0)+4-1),"")</f>
        <v/>
      </c>
      <c r="AC32" s="30" t="str">
        <f ca="1">IF(COUNTIF(planning_general!T$4:T$104,$D32),INDIRECT("'planning_general'!AX"&amp;MATCH($D32,planning_general!T$4:T$104,0)+4-1),"")</f>
        <v>Production</v>
      </c>
      <c r="AD32" s="30" t="str">
        <f ca="1">IF(COUNTIF(planning_general!U$4:U$104,$D32),INDIRECT("'planning_general'!AY"&amp;MATCH($D32,planning_general!U$4:U$104,0)+4-1),"")</f>
        <v/>
      </c>
      <c r="AE32" s="30" t="str">
        <f ca="1">IF(COUNTIF(planning_general!V$4:V$104,$D32),INDIRECT("'planning_general'!AZ"&amp;MATCH($D32,planning_general!V$4:V$104,0)+4-1),"")</f>
        <v/>
      </c>
      <c r="AF32" s="30" t="str">
        <f ca="1">IF(COUNTIF(planning_general!W$4:W$104,$D32),INDIRECT("'planning_general'!BA"&amp;MATCH($D32,planning_general!W$4:W$104,0)+4-1),"")</f>
        <v/>
      </c>
      <c r="AG32" s="30" t="str">
        <f ca="1">IF(COUNTIF(planning_general!X$4:X$104,$D32),INDIRECT("'planning_general'!BB"&amp;MATCH($D32,planning_general!X$4:X$104,0)+4-1),"")</f>
        <v/>
      </c>
      <c r="AH32" s="30" t="str">
        <f ca="1">IF(COUNTIF(planning_general!Y$4:Y$104,$D32),INDIRECT("'planning_general'!BC"&amp;MATCH($D32,planning_general!Y$4:Y$104,0)+4-1),"")</f>
        <v/>
      </c>
      <c r="AI32" s="30" t="str">
        <f ca="1">IF(COUNTIF(planning_general!Z$4:Z$104,$D32),INDIRECT("'planning_general'!BD"&amp;MATCH($D32,planning_general!Z$4:Z$104,0)+4-1),"")</f>
        <v/>
      </c>
      <c r="AJ32" s="30" t="str">
        <f ca="1">IF(COUNTIF(planning_general!AA$4:AA$104,$D32),INDIRECT("'planning_general'!BE"&amp;MATCH($D32,planning_general!AA$4:AA$104,0)+4-1),"")</f>
        <v/>
      </c>
      <c r="AK32" s="30" t="str">
        <f ca="1">IF(COUNTIF(planning_general!AB$4:AB$104,$D32),INDIRECT("'planning_general'!BF"&amp;MATCH($D32,planning_general!AB$4:AB$104,0)+4-1),"")</f>
        <v/>
      </c>
      <c r="AL32" s="30" t="str">
        <f ca="1">IF(COUNTIF(planning_general!AC$4:AC$104,$D32),INDIRECT("'planning_general'!BG"&amp;MATCH($D32,planning_general!AC$4:AC$104,0)+4-1),"")</f>
        <v/>
      </c>
      <c r="AM32" s="30" t="str">
        <f ca="1">IF(COUNTIF(planning_general!AD$4:AD$104,$D32),INDIRECT("'planning_general'!BH"&amp;MATCH($D32,planning_general!AD$4:AD$104,0)+4-1),"")</f>
        <v/>
      </c>
      <c r="AN32" s="30" t="str">
        <f ca="1">IF(COUNTIF(planning_general!AE$4:AE$104,$D32),INDIRECT("'planning_general'!BI"&amp;MATCH($D32,planning_general!AE$4:AE$104,0)+4-1),"")</f>
        <v/>
      </c>
    </row>
    <row r="33" spans="1:40" ht="34.950000000000003" customHeight="1" x14ac:dyDescent="0.35">
      <c r="A33" s="35">
        <f>beneficiaires!$A32</f>
        <v>31</v>
      </c>
      <c r="B33" s="28" t="str">
        <f>beneficiaires!B32</f>
        <v>Probst</v>
      </c>
      <c r="C33" s="28" t="str">
        <f>beneficiaires!C32</f>
        <v>Marie-Noëlle</v>
      </c>
      <c r="D33" s="29" t="str">
        <f>beneficiaires!D32</f>
        <v>Marie-Noëlle_Probst</v>
      </c>
      <c r="E33" s="29" t="str">
        <f>beneficiaires!E32</f>
        <v>Probst_Marie-Noëlle</v>
      </c>
      <c r="F33" s="26" t="str">
        <f t="shared" si="1"/>
        <v/>
      </c>
      <c r="G33" s="26" t="str">
        <f t="shared" si="1"/>
        <v/>
      </c>
      <c r="H33" s="26">
        <f t="shared" si="1"/>
        <v>1</v>
      </c>
      <c r="I33" s="26" t="str">
        <f t="shared" si="1"/>
        <v/>
      </c>
      <c r="J33" s="26" t="str">
        <f t="shared" si="1"/>
        <v/>
      </c>
      <c r="K33" s="26" t="str">
        <f t="shared" si="1"/>
        <v/>
      </c>
      <c r="L33" s="26">
        <f>beneficiaires!J32</f>
        <v>40</v>
      </c>
      <c r="M33" s="30" t="str">
        <f ca="1">IF(COUNTIF(planning_general!D$4:D$104,$D33),INDIRECT("'planning_general'!AH"&amp;MATCH($D33,planning_general!D$4:D$104,0)+4-1),"")</f>
        <v>Cuisine</v>
      </c>
      <c r="N33" s="30" t="str">
        <f ca="1">IF(COUNTIF(planning_general!E$4:E$104,$D33),INDIRECT("'planning_general'!AI"&amp;MATCH($D33,planning_general!E$4:E$104,0)+4-1),"")</f>
        <v/>
      </c>
      <c r="O33" s="30" t="str">
        <f ca="1">IF(COUNTIF(planning_general!F$4:F$104,$D33),INDIRECT("'planning_general'!AJ"&amp;MATCH($D33,planning_general!F$4:F$104,0)+4-1),"")</f>
        <v/>
      </c>
      <c r="P33" s="30" t="str">
        <f ca="1">IF(COUNTIF(planning_general!G$4:G$104,$D33),INDIRECT("'planning_general'!AK"&amp;MATCH($D33,planning_general!G$4:G$104,0)+4-1),"")</f>
        <v/>
      </c>
      <c r="Q33" s="30" t="str">
        <f ca="1">IF(COUNTIF(planning_general!H$4:H$104,$D33),INDIRECT("'planning_general'!AL"&amp;MATCH($D33,planning_general!H$4:H$104,0)+4-1),"")</f>
        <v/>
      </c>
      <c r="R33" s="30" t="str">
        <f ca="1">IF(COUNTIF(planning_general!I$4:I$104,$D33),INDIRECT("'planning_general'!AM"&amp;MATCH($D33,planning_general!I$4:I$104,0)+4-1),"")</f>
        <v/>
      </c>
      <c r="S33" s="30" t="str">
        <f ca="1">IF(COUNTIF(planning_general!J$4:J$104,$D33),INDIRECT("'planning_general'!AN"&amp;MATCH($D33,planning_general!J$4:J$104,0)+4-1),"")</f>
        <v/>
      </c>
      <c r="T33" s="30" t="str">
        <f ca="1">IF(COUNTIF(planning_general!K$4:K$104,$D33),INDIRECT("'planning_general'!AO"&amp;MATCH($D33,planning_general!K$4:K$104,0)+4-1),"")</f>
        <v/>
      </c>
      <c r="U33" s="30" t="str">
        <f ca="1">IF(COUNTIF(planning_general!L$4:L$104,$D33),INDIRECT("'planning_general'!AP"&amp;MATCH($D33,planning_general!L$4:L$104,0)+4-1),"")</f>
        <v>Cuisine</v>
      </c>
      <c r="V33" s="30" t="str">
        <f ca="1">IF(COUNTIF(planning_general!M$4:M$104,$D33),INDIRECT("'planning_general'!AQ"&amp;MATCH($D33,planning_general!M$4:M$104,0)+4-1),"")</f>
        <v/>
      </c>
      <c r="W33" s="30" t="str">
        <f ca="1">IF(COUNTIF(planning_general!N$4:N$104,$D33),INDIRECT("'planning_general'!AR"&amp;MATCH($D33,planning_general!N$4:N$104,0)+4-1),"")</f>
        <v/>
      </c>
      <c r="X33" s="30" t="str">
        <f ca="1">IF(COUNTIF(planning_general!O$4:O$104,$D33),INDIRECT("'planning_general'!AS"&amp;MATCH($D33,planning_general!O$4:O$104,0)+4-1),"")</f>
        <v/>
      </c>
      <c r="Y33" s="30" t="str">
        <f ca="1">IF(COUNTIF(planning_general!P$4:P$104,$D33),INDIRECT("'planning_general'!AT"&amp;MATCH($D33,planning_general!P$4:P$104,0)+4-1),"")</f>
        <v>Cuisine</v>
      </c>
      <c r="Z33" s="30" t="str">
        <f ca="1">IF(COUNTIF(planning_general!Q$4:Q$104,$D33),INDIRECT("'planning_general'!AU"&amp;MATCH($D33,planning_general!Q$4:Q$104,0)+4-1),"")</f>
        <v/>
      </c>
      <c r="AA33" s="30" t="str">
        <f ca="1">IF(COUNTIF(planning_general!R$4:R$104,$D33),INDIRECT("'planning_general'!AV"&amp;MATCH($D33,planning_general!R$4:R$104,0)+4-1),"")</f>
        <v>Cuisine</v>
      </c>
      <c r="AB33" s="30" t="str">
        <f ca="1">IF(COUNTIF(planning_general!S$4:S$104,$D33),INDIRECT("'planning_general'!AW"&amp;MATCH($D33,planning_general!S$4:S$104,0)+4-1),"")</f>
        <v/>
      </c>
      <c r="AC33" s="30" t="str">
        <f ca="1">IF(COUNTIF(planning_general!T$4:T$104,$D33),INDIRECT("'planning_general'!AX"&amp;MATCH($D33,planning_general!T$4:T$104,0)+4-1),"")</f>
        <v/>
      </c>
      <c r="AD33" s="30" t="str">
        <f ca="1">IF(COUNTIF(planning_general!U$4:U$104,$D33),INDIRECT("'planning_general'!AY"&amp;MATCH($D33,planning_general!U$4:U$104,0)+4-1),"")</f>
        <v/>
      </c>
      <c r="AE33" s="30" t="str">
        <f ca="1">IF(COUNTIF(planning_general!V$4:V$104,$D33),INDIRECT("'planning_general'!AZ"&amp;MATCH($D33,planning_general!V$4:V$104,0)+4-1),"")</f>
        <v/>
      </c>
      <c r="AF33" s="30" t="str">
        <f ca="1">IF(COUNTIF(planning_general!W$4:W$104,$D33),INDIRECT("'planning_general'!BA"&amp;MATCH($D33,planning_general!W$4:W$104,0)+4-1),"")</f>
        <v/>
      </c>
      <c r="AG33" s="30" t="str">
        <f ca="1">IF(COUNTIF(planning_general!X$4:X$104,$D33),INDIRECT("'planning_general'!BB"&amp;MATCH($D33,planning_general!X$4:X$104,0)+4-1),"")</f>
        <v/>
      </c>
      <c r="AH33" s="30" t="str">
        <f ca="1">IF(COUNTIF(planning_general!Y$4:Y$104,$D33),INDIRECT("'planning_general'!BC"&amp;MATCH($D33,planning_general!Y$4:Y$104,0)+4-1),"")</f>
        <v/>
      </c>
      <c r="AI33" s="30" t="str">
        <f ca="1">IF(COUNTIF(planning_general!Z$4:Z$104,$D33),INDIRECT("'planning_general'!BD"&amp;MATCH($D33,planning_general!Z$4:Z$104,0)+4-1),"")</f>
        <v/>
      </c>
      <c r="AJ33" s="30" t="str">
        <f ca="1">IF(COUNTIF(planning_general!AA$4:AA$104,$D33),INDIRECT("'planning_general'!BE"&amp;MATCH($D33,planning_general!AA$4:AA$104,0)+4-1),"")</f>
        <v/>
      </c>
      <c r="AK33" s="30" t="str">
        <f ca="1">IF(COUNTIF(planning_general!AB$4:AB$104,$D33),INDIRECT("'planning_general'!BF"&amp;MATCH($D33,planning_general!AB$4:AB$104,0)+4-1),"")</f>
        <v/>
      </c>
      <c r="AL33" s="30" t="str">
        <f ca="1">IF(COUNTIF(planning_general!AC$4:AC$104,$D33),INDIRECT("'planning_general'!BG"&amp;MATCH($D33,planning_general!AC$4:AC$104,0)+4-1),"")</f>
        <v/>
      </c>
      <c r="AM33" s="30" t="str">
        <f ca="1">IF(COUNTIF(planning_general!AD$4:AD$104,$D33),INDIRECT("'planning_general'!BH"&amp;MATCH($D33,planning_general!AD$4:AD$104,0)+4-1),"")</f>
        <v/>
      </c>
      <c r="AN33" s="30" t="str">
        <f ca="1">IF(COUNTIF(planning_general!AE$4:AE$104,$D33),INDIRECT("'planning_general'!BI"&amp;MATCH($D33,planning_general!AE$4:AE$104,0)+4-1),"")</f>
        <v/>
      </c>
    </row>
    <row r="34" spans="1:40" ht="34.950000000000003" customHeight="1" x14ac:dyDescent="0.35">
      <c r="A34" s="35">
        <f>beneficiaires!$A33</f>
        <v>32</v>
      </c>
      <c r="B34" s="28" t="str">
        <f>beneficiaires!B33</f>
        <v>Ravy</v>
      </c>
      <c r="C34" s="28" t="str">
        <f>beneficiaires!C33</f>
        <v>Elodie</v>
      </c>
      <c r="D34" s="29" t="str">
        <f>beneficiaires!D33</f>
        <v>Elodie_Ravy</v>
      </c>
      <c r="E34" s="29" t="str">
        <f>beneficiaires!E33</f>
        <v>Ravy_Elodie</v>
      </c>
      <c r="F34" s="26">
        <f t="shared" si="1"/>
        <v>1</v>
      </c>
      <c r="G34" s="26" t="str">
        <f t="shared" si="1"/>
        <v/>
      </c>
      <c r="H34" s="26" t="str">
        <f t="shared" si="1"/>
        <v/>
      </c>
      <c r="I34" s="26" t="str">
        <f t="shared" si="1"/>
        <v/>
      </c>
      <c r="J34" s="26" t="str">
        <f t="shared" si="1"/>
        <v/>
      </c>
      <c r="K34" s="26" t="str">
        <f t="shared" si="1"/>
        <v/>
      </c>
      <c r="L34" s="26">
        <f>beneficiaires!J33</f>
        <v>30</v>
      </c>
      <c r="M34" s="30" t="str">
        <f ca="1">IF(COUNTIF(planning_general!D$4:D$104,$D34),INDIRECT("'planning_general'!AH"&amp;MATCH($D34,planning_general!D$4:D$104,0)+4-1),"")</f>
        <v>Production</v>
      </c>
      <c r="N34" s="30" t="str">
        <f ca="1">IF(COUNTIF(planning_general!E$4:E$104,$D34),INDIRECT("'planning_general'!AI"&amp;MATCH($D34,planning_general!E$4:E$104,0)+4-1),"")</f>
        <v/>
      </c>
      <c r="O34" s="30" t="str">
        <f ca="1">IF(COUNTIF(planning_general!F$4:F$104,$D34),INDIRECT("'planning_general'!AJ"&amp;MATCH($D34,planning_general!F$4:F$104,0)+4-1),"")</f>
        <v/>
      </c>
      <c r="P34" s="30" t="str">
        <f ca="1">IF(COUNTIF(planning_general!G$4:G$104,$D34),INDIRECT("'planning_general'!AK"&amp;MATCH($D34,planning_general!G$4:G$104,0)+4-1),"")</f>
        <v/>
      </c>
      <c r="Q34" s="30" t="str">
        <f ca="1">IF(COUNTIF(planning_general!H$4:H$104,$D34),INDIRECT("'planning_general'!AL"&amp;MATCH($D34,planning_general!H$4:H$104,0)+4-1),"")</f>
        <v>Production</v>
      </c>
      <c r="R34" s="30" t="str">
        <f ca="1">IF(COUNTIF(planning_general!I$4:I$104,$D34),INDIRECT("'planning_general'!AM"&amp;MATCH($D34,planning_general!I$4:I$104,0)+4-1),"")</f>
        <v/>
      </c>
      <c r="S34" s="30" t="str">
        <f ca="1">IF(COUNTIF(planning_general!J$4:J$104,$D34),INDIRECT("'planning_general'!AN"&amp;MATCH($D34,planning_general!J$4:J$104,0)+4-1),"")</f>
        <v/>
      </c>
      <c r="T34" s="30" t="str">
        <f ca="1">IF(COUNTIF(planning_general!K$4:K$104,$D34),INDIRECT("'planning_general'!AO"&amp;MATCH($D34,planning_general!K$4:K$104,0)+4-1),"")</f>
        <v/>
      </c>
      <c r="U34" s="30" t="str">
        <f ca="1">IF(COUNTIF(planning_general!L$4:L$104,$D34),INDIRECT("'planning_general'!AP"&amp;MATCH($D34,planning_general!L$4:L$104,0)+4-1),"")</f>
        <v/>
      </c>
      <c r="V34" s="30" t="str">
        <f ca="1">IF(COUNTIF(planning_general!M$4:M$104,$D34),INDIRECT("'planning_general'!AQ"&amp;MATCH($D34,planning_general!M$4:M$104,0)+4-1),"")</f>
        <v/>
      </c>
      <c r="W34" s="30" t="str">
        <f ca="1">IF(COUNTIF(planning_general!N$4:N$104,$D34),INDIRECT("'planning_general'!AR"&amp;MATCH($D34,planning_general!N$4:N$104,0)+4-1),"")</f>
        <v/>
      </c>
      <c r="X34" s="30" t="str">
        <f ca="1">IF(COUNTIF(planning_general!O$4:O$104,$D34),INDIRECT("'planning_general'!AS"&amp;MATCH($D34,planning_general!O$4:O$104,0)+4-1),"")</f>
        <v/>
      </c>
      <c r="Y34" s="30" t="str">
        <f ca="1">IF(COUNTIF(planning_general!P$4:P$104,$D34),INDIRECT("'planning_general'!AT"&amp;MATCH($D34,planning_general!P$4:P$104,0)+4-1),"")</f>
        <v/>
      </c>
      <c r="Z34" s="30" t="str">
        <f ca="1">IF(COUNTIF(planning_general!Q$4:Q$104,$D34),INDIRECT("'planning_general'!AU"&amp;MATCH($D34,planning_general!Q$4:Q$104,0)+4-1),"")</f>
        <v/>
      </c>
      <c r="AA34" s="30" t="str">
        <f ca="1">IF(COUNTIF(planning_general!R$4:R$104,$D34),INDIRECT("'planning_general'!AV"&amp;MATCH($D34,planning_general!R$4:R$104,0)+4-1),"")</f>
        <v/>
      </c>
      <c r="AB34" s="30" t="str">
        <f ca="1">IF(COUNTIF(planning_general!S$4:S$104,$D34),INDIRECT("'planning_general'!AW"&amp;MATCH($D34,planning_general!S$4:S$104,0)+4-1),"")</f>
        <v/>
      </c>
      <c r="AC34" s="30" t="str">
        <f ca="1">IF(COUNTIF(planning_general!T$4:T$104,$D34),INDIRECT("'planning_general'!AX"&amp;MATCH($D34,planning_general!T$4:T$104,0)+4-1),"")</f>
        <v>Production</v>
      </c>
      <c r="AD34" s="30" t="str">
        <f ca="1">IF(COUNTIF(planning_general!U$4:U$104,$D34),INDIRECT("'planning_general'!AY"&amp;MATCH($D34,planning_general!U$4:U$104,0)+4-1),"")</f>
        <v/>
      </c>
      <c r="AE34" s="30" t="str">
        <f ca="1">IF(COUNTIF(planning_general!V$4:V$104,$D34),INDIRECT("'planning_general'!AZ"&amp;MATCH($D34,planning_general!V$4:V$104,0)+4-1),"")</f>
        <v/>
      </c>
      <c r="AF34" s="30" t="str">
        <f ca="1">IF(COUNTIF(planning_general!W$4:W$104,$D34),INDIRECT("'planning_general'!BA"&amp;MATCH($D34,planning_general!W$4:W$104,0)+4-1),"")</f>
        <v/>
      </c>
      <c r="AG34" s="30" t="str">
        <f ca="1">IF(COUNTIF(planning_general!X$4:X$104,$D34),INDIRECT("'planning_general'!BB"&amp;MATCH($D34,planning_general!X$4:X$104,0)+4-1),"")</f>
        <v/>
      </c>
      <c r="AH34" s="30" t="str">
        <f ca="1">IF(COUNTIF(planning_general!Y$4:Y$104,$D34),INDIRECT("'planning_general'!BC"&amp;MATCH($D34,planning_general!Y$4:Y$104,0)+4-1),"")</f>
        <v/>
      </c>
      <c r="AI34" s="30" t="str">
        <f ca="1">IF(COUNTIF(planning_general!Z$4:Z$104,$D34),INDIRECT("'planning_general'!BD"&amp;MATCH($D34,planning_general!Z$4:Z$104,0)+4-1),"")</f>
        <v/>
      </c>
      <c r="AJ34" s="30" t="str">
        <f ca="1">IF(COUNTIF(planning_general!AA$4:AA$104,$D34),INDIRECT("'planning_general'!BE"&amp;MATCH($D34,planning_general!AA$4:AA$104,0)+4-1),"")</f>
        <v/>
      </c>
      <c r="AK34" s="30" t="str">
        <f ca="1">IF(COUNTIF(planning_general!AB$4:AB$104,$D34),INDIRECT("'planning_general'!BF"&amp;MATCH($D34,planning_general!AB$4:AB$104,0)+4-1),"")</f>
        <v/>
      </c>
      <c r="AL34" s="30" t="str">
        <f ca="1">IF(COUNTIF(planning_general!AC$4:AC$104,$D34),INDIRECT("'planning_general'!BG"&amp;MATCH($D34,planning_general!AC$4:AC$104,0)+4-1),"")</f>
        <v/>
      </c>
      <c r="AM34" s="30" t="str">
        <f ca="1">IF(COUNTIF(planning_general!AD$4:AD$104,$D34),INDIRECT("'planning_general'!BH"&amp;MATCH($D34,planning_general!AD$4:AD$104,0)+4-1),"")</f>
        <v/>
      </c>
      <c r="AN34" s="30" t="str">
        <f ca="1">IF(COUNTIF(planning_general!AE$4:AE$104,$D34),INDIRECT("'planning_general'!BI"&amp;MATCH($D34,planning_general!AE$4:AE$104,0)+4-1),"")</f>
        <v/>
      </c>
    </row>
    <row r="35" spans="1:40" ht="34.950000000000003" customHeight="1" x14ac:dyDescent="0.35">
      <c r="A35" s="35">
        <f>beneficiaires!$A34</f>
        <v>33</v>
      </c>
      <c r="B35" s="28" t="str">
        <f>beneficiaires!B34</f>
        <v>Reymond</v>
      </c>
      <c r="C35" s="28" t="str">
        <f>beneficiaires!C34</f>
        <v>Anne-Line</v>
      </c>
      <c r="D35" s="29" t="str">
        <f>beneficiaires!D34</f>
        <v>Anne-Line_Reymond</v>
      </c>
      <c r="E35" s="29" t="str">
        <f>beneficiaires!E34</f>
        <v>Reymond_Anne-Line</v>
      </c>
      <c r="F35" s="26" t="str">
        <f t="shared" si="1"/>
        <v/>
      </c>
      <c r="G35" s="26">
        <f t="shared" si="1"/>
        <v>1</v>
      </c>
      <c r="H35" s="26" t="str">
        <f t="shared" si="1"/>
        <v/>
      </c>
      <c r="I35" s="26" t="str">
        <f t="shared" si="1"/>
        <v/>
      </c>
      <c r="J35" s="26" t="str">
        <f t="shared" si="1"/>
        <v/>
      </c>
      <c r="K35" s="26" t="str">
        <f t="shared" si="1"/>
        <v/>
      </c>
      <c r="L35" s="26">
        <f>beneficiaires!J34</f>
        <v>40</v>
      </c>
      <c r="M35" s="30" t="str">
        <f ca="1">IF(COUNTIF(planning_general!D$4:D$104,$D35),INDIRECT("'planning_general'!AH"&amp;MATCH($D35,planning_general!D$4:D$104,0)+4-1),"")</f>
        <v/>
      </c>
      <c r="N35" s="30" t="str">
        <f ca="1">IF(COUNTIF(planning_general!E$4:E$104,$D35),INDIRECT("'planning_general'!AI"&amp;MATCH($D35,planning_general!E$4:E$104,0)+4-1),"")</f>
        <v/>
      </c>
      <c r="O35" s="30" t="str">
        <f ca="1">IF(COUNTIF(planning_general!F$4:F$104,$D35),INDIRECT("'planning_general'!AJ"&amp;MATCH($D35,planning_general!F$4:F$104,0)+4-1),"")</f>
        <v/>
      </c>
      <c r="P35" s="30" t="str">
        <f ca="1">IF(COUNTIF(planning_general!G$4:G$104,$D35),INDIRECT("'planning_general'!AK"&amp;MATCH($D35,planning_general!G$4:G$104,0)+4-1),"")</f>
        <v/>
      </c>
      <c r="Q35" s="30" t="str">
        <f ca="1">IF(COUNTIF(planning_general!H$4:H$104,$D35),INDIRECT("'planning_general'!AL"&amp;MATCH($D35,planning_general!H$4:H$104,0)+4-1),"")</f>
        <v>Animation</v>
      </c>
      <c r="R35" s="30" t="str">
        <f ca="1">IF(COUNTIF(planning_general!I$4:I$104,$D35),INDIRECT("'planning_general'!AM"&amp;MATCH($D35,planning_general!I$4:I$104,0)+4-1),"")</f>
        <v/>
      </c>
      <c r="S35" s="30" t="str">
        <f ca="1">IF(COUNTIF(planning_general!J$4:J$104,$D35),INDIRECT("'planning_general'!AN"&amp;MATCH($D35,planning_general!J$4:J$104,0)+4-1),"")</f>
        <v>Animation</v>
      </c>
      <c r="T35" s="30" t="str">
        <f ca="1">IF(COUNTIF(planning_general!K$4:K$104,$D35),INDIRECT("'planning_general'!AO"&amp;MATCH($D35,planning_general!K$4:K$104,0)+4-1),"")</f>
        <v/>
      </c>
      <c r="U35" s="30" t="str">
        <f ca="1">IF(COUNTIF(planning_general!L$4:L$104,$D35),INDIRECT("'planning_general'!AP"&amp;MATCH($D35,planning_general!L$4:L$104,0)+4-1),"")</f>
        <v/>
      </c>
      <c r="V35" s="30" t="str">
        <f ca="1">IF(COUNTIF(planning_general!M$4:M$104,$D35),INDIRECT("'planning_general'!AQ"&amp;MATCH($D35,planning_general!M$4:M$104,0)+4-1),"")</f>
        <v/>
      </c>
      <c r="W35" s="30" t="str">
        <f ca="1">IF(COUNTIF(planning_general!N$4:N$104,$D35),INDIRECT("'planning_general'!AR"&amp;MATCH($D35,planning_general!N$4:N$104,0)+4-1),"")</f>
        <v/>
      </c>
      <c r="X35" s="30" t="str">
        <f ca="1">IF(COUNTIF(planning_general!O$4:O$104,$D35),INDIRECT("'planning_general'!AS"&amp;MATCH($D35,planning_general!O$4:O$104,0)+4-1),"")</f>
        <v/>
      </c>
      <c r="Y35" s="30" t="str">
        <f ca="1">IF(COUNTIF(planning_general!P$4:P$104,$D35),INDIRECT("'planning_general'!AT"&amp;MATCH($D35,planning_general!P$4:P$104,0)+4-1),"")</f>
        <v/>
      </c>
      <c r="Z35" s="30" t="str">
        <f ca="1">IF(COUNTIF(planning_general!Q$4:Q$104,$D35),INDIRECT("'planning_general'!AU"&amp;MATCH($D35,planning_general!Q$4:Q$104,0)+4-1),"")</f>
        <v/>
      </c>
      <c r="AA35" s="30" t="str">
        <f ca="1">IF(COUNTIF(planning_general!R$4:R$104,$D35),INDIRECT("'planning_general'!AV"&amp;MATCH($D35,planning_general!R$4:R$104,0)+4-1),"")</f>
        <v/>
      </c>
      <c r="AB35" s="30" t="str">
        <f ca="1">IF(COUNTIF(planning_general!S$4:S$104,$D35),INDIRECT("'planning_general'!AW"&amp;MATCH($D35,planning_general!S$4:S$104,0)+4-1),"")</f>
        <v/>
      </c>
      <c r="AC35" s="30" t="str">
        <f ca="1">IF(COUNTIF(planning_general!T$4:T$104,$D35),INDIRECT("'planning_general'!AX"&amp;MATCH($D35,planning_general!T$4:T$104,0)+4-1),"")</f>
        <v>Animation</v>
      </c>
      <c r="AD35" s="30" t="str">
        <f ca="1">IF(COUNTIF(planning_general!U$4:U$104,$D35),INDIRECT("'planning_general'!AY"&amp;MATCH($D35,planning_general!U$4:U$104,0)+4-1),"")</f>
        <v/>
      </c>
      <c r="AE35" s="30" t="str">
        <f ca="1">IF(COUNTIF(planning_general!V$4:V$104,$D35),INDIRECT("'planning_general'!AZ"&amp;MATCH($D35,planning_general!V$4:V$104,0)+4-1),"")</f>
        <v>Animation</v>
      </c>
      <c r="AF35" s="30" t="str">
        <f ca="1">IF(COUNTIF(planning_general!W$4:W$104,$D35),INDIRECT("'planning_general'!BA"&amp;MATCH($D35,planning_general!W$4:W$104,0)+4-1),"")</f>
        <v/>
      </c>
      <c r="AG35" s="30" t="str">
        <f ca="1">IF(COUNTIF(planning_general!X$4:X$104,$D35),INDIRECT("'planning_general'!BB"&amp;MATCH($D35,planning_general!X$4:X$104,0)+4-1),"")</f>
        <v/>
      </c>
      <c r="AH35" s="30" t="str">
        <f ca="1">IF(COUNTIF(planning_general!Y$4:Y$104,$D35),INDIRECT("'planning_general'!BC"&amp;MATCH($D35,planning_general!Y$4:Y$104,0)+4-1),"")</f>
        <v/>
      </c>
      <c r="AI35" s="30" t="str">
        <f ca="1">IF(COUNTIF(planning_general!Z$4:Z$104,$D35),INDIRECT("'planning_general'!BD"&amp;MATCH($D35,planning_general!Z$4:Z$104,0)+4-1),"")</f>
        <v/>
      </c>
      <c r="AJ35" s="30" t="str">
        <f ca="1">IF(COUNTIF(planning_general!AA$4:AA$104,$D35),INDIRECT("'planning_general'!BE"&amp;MATCH($D35,planning_general!AA$4:AA$104,0)+4-1),"")</f>
        <v/>
      </c>
      <c r="AK35" s="30" t="str">
        <f ca="1">IF(COUNTIF(planning_general!AB$4:AB$104,$D35),INDIRECT("'planning_general'!BF"&amp;MATCH($D35,planning_general!AB$4:AB$104,0)+4-1),"")</f>
        <v/>
      </c>
      <c r="AL35" s="30" t="str">
        <f ca="1">IF(COUNTIF(planning_general!AC$4:AC$104,$D35),INDIRECT("'planning_general'!BG"&amp;MATCH($D35,planning_general!AC$4:AC$104,0)+4-1),"")</f>
        <v/>
      </c>
      <c r="AM35" s="30" t="str">
        <f ca="1">IF(COUNTIF(planning_general!AD$4:AD$104,$D35),INDIRECT("'planning_general'!BH"&amp;MATCH($D35,planning_general!AD$4:AD$104,0)+4-1),"")</f>
        <v/>
      </c>
      <c r="AN35" s="30" t="str">
        <f ca="1">IF(COUNTIF(planning_general!AE$4:AE$104,$D35),INDIRECT("'planning_general'!BI"&amp;MATCH($D35,planning_general!AE$4:AE$104,0)+4-1),"")</f>
        <v/>
      </c>
    </row>
    <row r="36" spans="1:40" ht="34.950000000000003" customHeight="1" x14ac:dyDescent="0.35">
      <c r="A36" s="35">
        <f>beneficiaires!$A35</f>
        <v>34</v>
      </c>
      <c r="B36" s="28" t="str">
        <f>beneficiaires!B35</f>
        <v>Rezé</v>
      </c>
      <c r="C36" s="28" t="str">
        <f>beneficiaires!C35</f>
        <v>Philippe</v>
      </c>
      <c r="D36" s="29" t="str">
        <f>beneficiaires!D35</f>
        <v>Philippe_Rezé</v>
      </c>
      <c r="E36" s="29" t="str">
        <f>beneficiaires!E35</f>
        <v>Rezé_Philippe</v>
      </c>
      <c r="F36" s="26" t="str">
        <f t="shared" si="1"/>
        <v/>
      </c>
      <c r="G36" s="26">
        <f t="shared" si="1"/>
        <v>1</v>
      </c>
      <c r="H36" s="26" t="str">
        <f t="shared" si="1"/>
        <v/>
      </c>
      <c r="I36" s="26" t="str">
        <f t="shared" si="1"/>
        <v/>
      </c>
      <c r="J36" s="26" t="str">
        <f t="shared" si="1"/>
        <v/>
      </c>
      <c r="K36" s="26" t="str">
        <f t="shared" si="1"/>
        <v/>
      </c>
      <c r="L36" s="26">
        <f>beneficiaires!J35</f>
        <v>10</v>
      </c>
      <c r="M36" s="30" t="str">
        <f ca="1">IF(COUNTIF(planning_general!D$4:D$104,$D36),INDIRECT("'planning_general'!AH"&amp;MATCH($D36,planning_general!D$4:D$104,0)+4-1),"")</f>
        <v/>
      </c>
      <c r="N36" s="30" t="str">
        <f ca="1">IF(COUNTIF(planning_general!E$4:E$104,$D36),INDIRECT("'planning_general'!AI"&amp;MATCH($D36,planning_general!E$4:E$104,0)+4-1),"")</f>
        <v/>
      </c>
      <c r="O36" s="30" t="str">
        <f ca="1">IF(COUNTIF(planning_general!F$4:F$104,$D36),INDIRECT("'planning_general'!AJ"&amp;MATCH($D36,planning_general!F$4:F$104,0)+4-1),"")</f>
        <v/>
      </c>
      <c r="P36" s="30" t="str">
        <f ca="1">IF(COUNTIF(planning_general!G$4:G$104,$D36),INDIRECT("'planning_general'!AK"&amp;MATCH($D36,planning_general!G$4:G$104,0)+4-1),"")</f>
        <v/>
      </c>
      <c r="Q36" s="30" t="str">
        <f ca="1">IF(COUNTIF(planning_general!H$4:H$104,$D36),INDIRECT("'planning_general'!AL"&amp;MATCH($D36,planning_general!H$4:H$104,0)+4-1),"")</f>
        <v/>
      </c>
      <c r="R36" s="30" t="str">
        <f ca="1">IF(COUNTIF(planning_general!I$4:I$104,$D36),INDIRECT("'planning_general'!AM"&amp;MATCH($D36,planning_general!I$4:I$104,0)+4-1),"")</f>
        <v/>
      </c>
      <c r="S36" s="30" t="str">
        <f ca="1">IF(COUNTIF(planning_general!J$4:J$104,$D36),INDIRECT("'planning_general'!AN"&amp;MATCH($D36,planning_general!J$4:J$104,0)+4-1),"")</f>
        <v/>
      </c>
      <c r="T36" s="30" t="str">
        <f ca="1">IF(COUNTIF(planning_general!K$4:K$104,$D36),INDIRECT("'planning_general'!AO"&amp;MATCH($D36,planning_general!K$4:K$104,0)+4-1),"")</f>
        <v/>
      </c>
      <c r="U36" s="30" t="str">
        <f ca="1">IF(COUNTIF(planning_general!L$4:L$104,$D36),INDIRECT("'planning_general'!AP"&amp;MATCH($D36,planning_general!L$4:L$104,0)+4-1),"")</f>
        <v>Animation</v>
      </c>
      <c r="V36" s="30" t="str">
        <f ca="1">IF(COUNTIF(planning_general!M$4:M$104,$D36),INDIRECT("'planning_general'!AQ"&amp;MATCH($D36,planning_general!M$4:M$104,0)+4-1),"")</f>
        <v/>
      </c>
      <c r="W36" s="30" t="str">
        <f ca="1">IF(COUNTIF(planning_general!N$4:N$104,$D36),INDIRECT("'planning_general'!AR"&amp;MATCH($D36,planning_general!N$4:N$104,0)+4-1),"")</f>
        <v/>
      </c>
      <c r="X36" s="30" t="str">
        <f ca="1">IF(COUNTIF(planning_general!O$4:O$104,$D36),INDIRECT("'planning_general'!AS"&amp;MATCH($D36,planning_general!O$4:O$104,0)+4-1),"")</f>
        <v/>
      </c>
      <c r="Y36" s="30" t="str">
        <f ca="1">IF(COUNTIF(planning_general!P$4:P$104,$D36),INDIRECT("'planning_general'!AT"&amp;MATCH($D36,planning_general!P$4:P$104,0)+4-1),"")</f>
        <v/>
      </c>
      <c r="Z36" s="30" t="str">
        <f ca="1">IF(COUNTIF(planning_general!Q$4:Q$104,$D36),INDIRECT("'planning_general'!AU"&amp;MATCH($D36,planning_general!Q$4:Q$104,0)+4-1),"")</f>
        <v/>
      </c>
      <c r="AA36" s="30" t="str">
        <f ca="1">IF(COUNTIF(planning_general!R$4:R$104,$D36),INDIRECT("'planning_general'!AV"&amp;MATCH($D36,planning_general!R$4:R$104,0)+4-1),"")</f>
        <v/>
      </c>
      <c r="AB36" s="30" t="str">
        <f ca="1">IF(COUNTIF(planning_general!S$4:S$104,$D36),INDIRECT("'planning_general'!AW"&amp;MATCH($D36,planning_general!S$4:S$104,0)+4-1),"")</f>
        <v/>
      </c>
      <c r="AC36" s="30" t="str">
        <f ca="1">IF(COUNTIF(planning_general!T$4:T$104,$D36),INDIRECT("'planning_general'!AX"&amp;MATCH($D36,planning_general!T$4:T$104,0)+4-1),"")</f>
        <v/>
      </c>
      <c r="AD36" s="30" t="str">
        <f ca="1">IF(COUNTIF(planning_general!U$4:U$104,$D36),INDIRECT("'planning_general'!AY"&amp;MATCH($D36,planning_general!U$4:U$104,0)+4-1),"")</f>
        <v/>
      </c>
      <c r="AE36" s="30" t="str">
        <f ca="1">IF(COUNTIF(planning_general!V$4:V$104,$D36),INDIRECT("'planning_general'!AZ"&amp;MATCH($D36,planning_general!V$4:V$104,0)+4-1),"")</f>
        <v/>
      </c>
      <c r="AF36" s="30" t="str">
        <f ca="1">IF(COUNTIF(planning_general!W$4:W$104,$D36),INDIRECT("'planning_general'!BA"&amp;MATCH($D36,planning_general!W$4:W$104,0)+4-1),"")</f>
        <v/>
      </c>
      <c r="AG36" s="30" t="str">
        <f ca="1">IF(COUNTIF(planning_general!X$4:X$104,$D36),INDIRECT("'planning_general'!BB"&amp;MATCH($D36,planning_general!X$4:X$104,0)+4-1),"")</f>
        <v/>
      </c>
      <c r="AH36" s="30" t="str">
        <f ca="1">IF(COUNTIF(planning_general!Y$4:Y$104,$D36),INDIRECT("'planning_general'!BC"&amp;MATCH($D36,planning_general!Y$4:Y$104,0)+4-1),"")</f>
        <v/>
      </c>
      <c r="AI36" s="30" t="str">
        <f ca="1">IF(COUNTIF(planning_general!Z$4:Z$104,$D36),INDIRECT("'planning_general'!BD"&amp;MATCH($D36,planning_general!Z$4:Z$104,0)+4-1),"")</f>
        <v/>
      </c>
      <c r="AJ36" s="30" t="str">
        <f ca="1">IF(COUNTIF(planning_general!AA$4:AA$104,$D36),INDIRECT("'planning_general'!BE"&amp;MATCH($D36,planning_general!AA$4:AA$104,0)+4-1),"")</f>
        <v/>
      </c>
      <c r="AK36" s="30" t="str">
        <f ca="1">IF(COUNTIF(planning_general!AB$4:AB$104,$D36),INDIRECT("'planning_general'!BF"&amp;MATCH($D36,planning_general!AB$4:AB$104,0)+4-1),"")</f>
        <v/>
      </c>
      <c r="AL36" s="30" t="str">
        <f ca="1">IF(COUNTIF(planning_general!AC$4:AC$104,$D36),INDIRECT("'planning_general'!BG"&amp;MATCH($D36,planning_general!AC$4:AC$104,0)+4-1),"")</f>
        <v/>
      </c>
      <c r="AM36" s="30" t="str">
        <f ca="1">IF(COUNTIF(planning_general!AD$4:AD$104,$D36),INDIRECT("'planning_general'!BH"&amp;MATCH($D36,planning_general!AD$4:AD$104,0)+4-1),"")</f>
        <v/>
      </c>
      <c r="AN36" s="30" t="str">
        <f ca="1">IF(COUNTIF(planning_general!AE$4:AE$104,$D36),INDIRECT("'planning_general'!BI"&amp;MATCH($D36,planning_general!AE$4:AE$104,0)+4-1),"")</f>
        <v/>
      </c>
    </row>
    <row r="37" spans="1:40" ht="34.950000000000003" customHeight="1" x14ac:dyDescent="0.35">
      <c r="A37" s="35">
        <f>beneficiaires!$A36</f>
        <v>35</v>
      </c>
      <c r="B37" s="28" t="str">
        <f>beneficiaires!B36</f>
        <v>Schenker</v>
      </c>
      <c r="C37" s="28" t="str">
        <f>beneficiaires!C36</f>
        <v>Yves</v>
      </c>
      <c r="D37" s="29" t="str">
        <f>beneficiaires!D36</f>
        <v>Yves_Schenker</v>
      </c>
      <c r="E37" s="29" t="str">
        <f>beneficiaires!E36</f>
        <v>Schenker_Yves</v>
      </c>
      <c r="F37" s="26">
        <f t="shared" si="1"/>
        <v>1</v>
      </c>
      <c r="G37" s="26" t="str">
        <f t="shared" si="1"/>
        <v/>
      </c>
      <c r="H37" s="26" t="str">
        <f t="shared" si="1"/>
        <v/>
      </c>
      <c r="I37" s="26" t="str">
        <f t="shared" si="1"/>
        <v/>
      </c>
      <c r="J37" s="26" t="str">
        <f t="shared" si="1"/>
        <v/>
      </c>
      <c r="K37" s="26" t="str">
        <f t="shared" si="1"/>
        <v/>
      </c>
      <c r="L37" s="26">
        <f>beneficiaires!J36</f>
        <v>30</v>
      </c>
      <c r="M37" s="30" t="str">
        <f ca="1">IF(COUNTIF(planning_general!D$4:D$104,$D37),INDIRECT("'planning_general'!AH"&amp;MATCH($D37,planning_general!D$4:D$104,0)+4-1),"")</f>
        <v/>
      </c>
      <c r="N37" s="30" t="str">
        <f ca="1">IF(COUNTIF(planning_general!E$4:E$104,$D37),INDIRECT("'planning_general'!AI"&amp;MATCH($D37,planning_general!E$4:E$104,0)+4-1),"")</f>
        <v/>
      </c>
      <c r="O37" s="30" t="str">
        <f ca="1">IF(COUNTIF(planning_general!F$4:F$104,$D37),INDIRECT("'planning_general'!AJ"&amp;MATCH($D37,planning_general!F$4:F$104,0)+4-1),"")</f>
        <v/>
      </c>
      <c r="P37" s="30" t="str">
        <f ca="1">IF(COUNTIF(planning_general!G$4:G$104,$D37),INDIRECT("'planning_general'!AK"&amp;MATCH($D37,planning_general!G$4:G$104,0)+4-1),"")</f>
        <v/>
      </c>
      <c r="Q37" s="30" t="str">
        <f ca="1">IF(COUNTIF(planning_general!H$4:H$104,$D37),INDIRECT("'planning_general'!AL"&amp;MATCH($D37,planning_general!H$4:H$104,0)+4-1),"")</f>
        <v/>
      </c>
      <c r="R37" s="30" t="str">
        <f ca="1">IF(COUNTIF(planning_general!I$4:I$104,$D37),INDIRECT("'planning_general'!AM"&amp;MATCH($D37,planning_general!I$4:I$104,0)+4-1),"")</f>
        <v/>
      </c>
      <c r="S37" s="30" t="str">
        <f ca="1">IF(COUNTIF(planning_general!J$4:J$104,$D37),INDIRECT("'planning_general'!AN"&amp;MATCH($D37,planning_general!J$4:J$104,0)+4-1),"")</f>
        <v>Production</v>
      </c>
      <c r="T37" s="30" t="str">
        <f ca="1">IF(COUNTIF(planning_general!K$4:K$104,$D37),INDIRECT("'planning_general'!AO"&amp;MATCH($D37,planning_general!K$4:K$104,0)+4-1),"")</f>
        <v/>
      </c>
      <c r="U37" s="30" t="str">
        <f ca="1">IF(COUNTIF(planning_general!L$4:L$104,$D37),INDIRECT("'planning_general'!AP"&amp;MATCH($D37,planning_general!L$4:L$104,0)+4-1),"")</f>
        <v/>
      </c>
      <c r="V37" s="30" t="str">
        <f ca="1">IF(COUNTIF(planning_general!M$4:M$104,$D37),INDIRECT("'planning_general'!AQ"&amp;MATCH($D37,planning_general!M$4:M$104,0)+4-1),"")</f>
        <v/>
      </c>
      <c r="W37" s="30" t="str">
        <f ca="1">IF(COUNTIF(planning_general!N$4:N$104,$D37),INDIRECT("'planning_general'!AR"&amp;MATCH($D37,planning_general!N$4:N$104,0)+4-1),"")</f>
        <v>Production</v>
      </c>
      <c r="X37" s="30" t="str">
        <f ca="1">IF(COUNTIF(planning_general!O$4:O$104,$D37),INDIRECT("'planning_general'!AS"&amp;MATCH($D37,planning_general!O$4:O$104,0)+4-1),"")</f>
        <v/>
      </c>
      <c r="Y37" s="30" t="str">
        <f ca="1">IF(COUNTIF(planning_general!P$4:P$104,$D37),INDIRECT("'planning_general'!AT"&amp;MATCH($D37,planning_general!P$4:P$104,0)+4-1),"")</f>
        <v/>
      </c>
      <c r="Z37" s="30" t="str">
        <f ca="1">IF(COUNTIF(planning_general!Q$4:Q$104,$D37),INDIRECT("'planning_general'!AU"&amp;MATCH($D37,planning_general!Q$4:Q$104,0)+4-1),"")</f>
        <v/>
      </c>
      <c r="AA37" s="30" t="str">
        <f ca="1">IF(COUNTIF(planning_general!R$4:R$104,$D37),INDIRECT("'planning_general'!AV"&amp;MATCH($D37,planning_general!R$4:R$104,0)+4-1),"")</f>
        <v/>
      </c>
      <c r="AB37" s="30" t="str">
        <f ca="1">IF(COUNTIF(planning_general!S$4:S$104,$D37),INDIRECT("'planning_general'!AW"&amp;MATCH($D37,planning_general!S$4:S$104,0)+4-1),"")</f>
        <v/>
      </c>
      <c r="AC37" s="30" t="str">
        <f ca="1">IF(COUNTIF(planning_general!T$4:T$104,$D37),INDIRECT("'planning_general'!AX"&amp;MATCH($D37,planning_general!T$4:T$104,0)+4-1),"")</f>
        <v/>
      </c>
      <c r="AD37" s="30" t="str">
        <f ca="1">IF(COUNTIF(planning_general!U$4:U$104,$D37),INDIRECT("'planning_general'!AY"&amp;MATCH($D37,planning_general!U$4:U$104,0)+4-1),"")</f>
        <v/>
      </c>
      <c r="AE37" s="30" t="str">
        <f ca="1">IF(COUNTIF(planning_general!V$4:V$104,$D37),INDIRECT("'planning_general'!AZ"&amp;MATCH($D37,planning_general!V$4:V$104,0)+4-1),"")</f>
        <v>Réception</v>
      </c>
      <c r="AF37" s="30" t="str">
        <f ca="1">IF(COUNTIF(planning_general!W$4:W$104,$D37),INDIRECT("'planning_general'!BA"&amp;MATCH($D37,planning_general!W$4:W$104,0)+4-1),"")</f>
        <v/>
      </c>
      <c r="AG37" s="30" t="str">
        <f ca="1">IF(COUNTIF(planning_general!X$4:X$104,$D37),INDIRECT("'planning_general'!BB"&amp;MATCH($D37,planning_general!X$4:X$104,0)+4-1),"")</f>
        <v/>
      </c>
      <c r="AH37" s="30" t="str">
        <f ca="1">IF(COUNTIF(planning_general!Y$4:Y$104,$D37),INDIRECT("'planning_general'!BC"&amp;MATCH($D37,planning_general!Y$4:Y$104,0)+4-1),"")</f>
        <v/>
      </c>
      <c r="AI37" s="30" t="str">
        <f ca="1">IF(COUNTIF(planning_general!Z$4:Z$104,$D37),INDIRECT("'planning_general'!BD"&amp;MATCH($D37,planning_general!Z$4:Z$104,0)+4-1),"")</f>
        <v/>
      </c>
      <c r="AJ37" s="30" t="str">
        <f ca="1">IF(COUNTIF(planning_general!AA$4:AA$104,$D37),INDIRECT("'planning_general'!BE"&amp;MATCH($D37,planning_general!AA$4:AA$104,0)+4-1),"")</f>
        <v/>
      </c>
      <c r="AK37" s="30" t="str">
        <f ca="1">IF(COUNTIF(planning_general!AB$4:AB$104,$D37),INDIRECT("'planning_general'!BF"&amp;MATCH($D37,planning_general!AB$4:AB$104,0)+4-1),"")</f>
        <v/>
      </c>
      <c r="AL37" s="30" t="str">
        <f ca="1">IF(COUNTIF(planning_general!AC$4:AC$104,$D37),INDIRECT("'planning_general'!BG"&amp;MATCH($D37,planning_general!AC$4:AC$104,0)+4-1),"")</f>
        <v/>
      </c>
      <c r="AM37" s="30" t="str">
        <f ca="1">IF(COUNTIF(planning_general!AD$4:AD$104,$D37),INDIRECT("'planning_general'!BH"&amp;MATCH($D37,planning_general!AD$4:AD$104,0)+4-1),"")</f>
        <v/>
      </c>
      <c r="AN37" s="30" t="str">
        <f ca="1">IF(COUNTIF(planning_general!AE$4:AE$104,$D37),INDIRECT("'planning_general'!BI"&amp;MATCH($D37,planning_general!AE$4:AE$104,0)+4-1),"")</f>
        <v/>
      </c>
    </row>
    <row r="38" spans="1:40" ht="34.950000000000003" customHeight="1" x14ac:dyDescent="0.35">
      <c r="A38" s="35">
        <f>beneficiaires!$A37</f>
        <v>36</v>
      </c>
      <c r="B38" s="28" t="str">
        <f>beneficiaires!B37</f>
        <v>Sessay</v>
      </c>
      <c r="C38" s="28" t="str">
        <f>beneficiaires!C37</f>
        <v>Yaya</v>
      </c>
      <c r="D38" s="29" t="str">
        <f>beneficiaires!D37</f>
        <v>Yaya_Sessay</v>
      </c>
      <c r="E38" s="29" t="str">
        <f>beneficiaires!E37</f>
        <v>Sessay_Yaya</v>
      </c>
      <c r="F38" s="26">
        <f t="shared" si="1"/>
        <v>1</v>
      </c>
      <c r="G38" s="26" t="str">
        <f t="shared" si="1"/>
        <v/>
      </c>
      <c r="H38" s="26" t="str">
        <f t="shared" si="1"/>
        <v/>
      </c>
      <c r="I38" s="26" t="str">
        <f t="shared" si="1"/>
        <v/>
      </c>
      <c r="J38" s="26" t="str">
        <f t="shared" si="1"/>
        <v/>
      </c>
      <c r="K38" s="26" t="str">
        <f t="shared" si="1"/>
        <v/>
      </c>
      <c r="L38" s="26">
        <f>beneficiaires!J37</f>
        <v>50</v>
      </c>
      <c r="M38" s="30" t="str">
        <f ca="1">IF(COUNTIF(planning_general!D$4:D$104,$D38),INDIRECT("'planning_general'!AH"&amp;MATCH($D38,planning_general!D$4:D$104,0)+4-1),"")</f>
        <v>Production</v>
      </c>
      <c r="N38" s="30" t="str">
        <f ca="1">IF(COUNTIF(planning_general!E$4:E$104,$D38),INDIRECT("'planning_general'!AI"&amp;MATCH($D38,planning_general!E$4:E$104,0)+4-1),"")</f>
        <v/>
      </c>
      <c r="O38" s="30" t="str">
        <f ca="1">IF(COUNTIF(planning_general!F$4:F$104,$D38),INDIRECT("'planning_general'!AJ"&amp;MATCH($D38,planning_general!F$4:F$104,0)+4-1),"")</f>
        <v/>
      </c>
      <c r="P38" s="30" t="str">
        <f ca="1">IF(COUNTIF(planning_general!G$4:G$104,$D38),INDIRECT("'planning_general'!AK"&amp;MATCH($D38,planning_general!G$4:G$104,0)+4-1),"")</f>
        <v/>
      </c>
      <c r="Q38" s="30" t="str">
        <f ca="1">IF(COUNTIF(planning_general!H$4:H$104,$D38),INDIRECT("'planning_general'!AL"&amp;MATCH($D38,planning_general!H$4:H$104,0)+4-1),"")</f>
        <v/>
      </c>
      <c r="R38" s="30" t="str">
        <f ca="1">IF(COUNTIF(planning_general!I$4:I$104,$D38),INDIRECT("'planning_general'!AM"&amp;MATCH($D38,planning_general!I$4:I$104,0)+4-1),"")</f>
        <v/>
      </c>
      <c r="S38" s="30" t="str">
        <f ca="1">IF(COUNTIF(planning_general!J$4:J$104,$D38),INDIRECT("'planning_general'!AN"&amp;MATCH($D38,planning_general!J$4:J$104,0)+4-1),"")</f>
        <v>Production</v>
      </c>
      <c r="T38" s="30" t="str">
        <f ca="1">IF(COUNTIF(planning_general!K$4:K$104,$D38),INDIRECT("'planning_general'!AO"&amp;MATCH($D38,planning_general!K$4:K$104,0)+4-1),"")</f>
        <v/>
      </c>
      <c r="U38" s="30" t="str">
        <f ca="1">IF(COUNTIF(planning_general!L$4:L$104,$D38),INDIRECT("'planning_general'!AP"&amp;MATCH($D38,planning_general!L$4:L$104,0)+4-1),"")</f>
        <v>Production</v>
      </c>
      <c r="V38" s="30" t="str">
        <f ca="1">IF(COUNTIF(planning_general!M$4:M$104,$D38),INDIRECT("'planning_general'!AQ"&amp;MATCH($D38,planning_general!M$4:M$104,0)+4-1),"")</f>
        <v/>
      </c>
      <c r="W38" s="30" t="str">
        <f ca="1">IF(COUNTIF(planning_general!N$4:N$104,$D38),INDIRECT("'planning_general'!AR"&amp;MATCH($D38,planning_general!N$4:N$104,0)+4-1),"")</f>
        <v>Production</v>
      </c>
      <c r="X38" s="30" t="str">
        <f ca="1">IF(COUNTIF(planning_general!O$4:O$104,$D38),INDIRECT("'planning_general'!AS"&amp;MATCH($D38,planning_general!O$4:O$104,0)+4-1),"")</f>
        <v/>
      </c>
      <c r="Y38" s="30" t="str">
        <f ca="1">IF(COUNTIF(planning_general!P$4:P$104,$D38),INDIRECT("'planning_general'!AT"&amp;MATCH($D38,planning_general!P$4:P$104,0)+4-1),"")</f>
        <v/>
      </c>
      <c r="Z38" s="30" t="str">
        <f ca="1">IF(COUNTIF(planning_general!Q$4:Q$104,$D38),INDIRECT("'planning_general'!AU"&amp;MATCH($D38,planning_general!Q$4:Q$104,0)+4-1),"")</f>
        <v/>
      </c>
      <c r="AA38" s="30" t="str">
        <f ca="1">IF(COUNTIF(planning_general!R$4:R$104,$D38),INDIRECT("'planning_general'!AV"&amp;MATCH($D38,planning_general!R$4:R$104,0)+4-1),"")</f>
        <v/>
      </c>
      <c r="AB38" s="30" t="str">
        <f ca="1">IF(COUNTIF(planning_general!S$4:S$104,$D38),INDIRECT("'planning_general'!AW"&amp;MATCH($D38,planning_general!S$4:S$104,0)+4-1),"")</f>
        <v/>
      </c>
      <c r="AC38" s="30" t="str">
        <f ca="1">IF(COUNTIF(planning_general!T$4:T$104,$D38),INDIRECT("'planning_general'!AX"&amp;MATCH($D38,planning_general!T$4:T$104,0)+4-1),"")</f>
        <v>Production</v>
      </c>
      <c r="AD38" s="30" t="str">
        <f ca="1">IF(COUNTIF(planning_general!U$4:U$104,$D38),INDIRECT("'planning_general'!AY"&amp;MATCH($D38,planning_general!U$4:U$104,0)+4-1),"")</f>
        <v/>
      </c>
      <c r="AE38" s="30" t="str">
        <f ca="1">IF(COUNTIF(planning_general!V$4:V$104,$D38),INDIRECT("'planning_general'!AZ"&amp;MATCH($D38,planning_general!V$4:V$104,0)+4-1),"")</f>
        <v/>
      </c>
      <c r="AF38" s="30" t="str">
        <f ca="1">IF(COUNTIF(planning_general!W$4:W$104,$D38),INDIRECT("'planning_general'!BA"&amp;MATCH($D38,planning_general!W$4:W$104,0)+4-1),"")</f>
        <v/>
      </c>
      <c r="AG38" s="30" t="str">
        <f ca="1">IF(COUNTIF(planning_general!X$4:X$104,$D38),INDIRECT("'planning_general'!BB"&amp;MATCH($D38,planning_general!X$4:X$104,0)+4-1),"")</f>
        <v/>
      </c>
      <c r="AH38" s="30" t="str">
        <f ca="1">IF(COUNTIF(planning_general!Y$4:Y$104,$D38),INDIRECT("'planning_general'!BC"&amp;MATCH($D38,planning_general!Y$4:Y$104,0)+4-1),"")</f>
        <v/>
      </c>
      <c r="AI38" s="30" t="str">
        <f ca="1">IF(COUNTIF(planning_general!Z$4:Z$104,$D38),INDIRECT("'planning_general'!BD"&amp;MATCH($D38,planning_general!Z$4:Z$104,0)+4-1),"")</f>
        <v/>
      </c>
      <c r="AJ38" s="30" t="str">
        <f ca="1">IF(COUNTIF(planning_general!AA$4:AA$104,$D38),INDIRECT("'planning_general'!BE"&amp;MATCH($D38,planning_general!AA$4:AA$104,0)+4-1),"")</f>
        <v/>
      </c>
      <c r="AK38" s="30" t="str">
        <f ca="1">IF(COUNTIF(planning_general!AB$4:AB$104,$D38),INDIRECT("'planning_general'!BF"&amp;MATCH($D38,planning_general!AB$4:AB$104,0)+4-1),"")</f>
        <v/>
      </c>
      <c r="AL38" s="30" t="str">
        <f ca="1">IF(COUNTIF(planning_general!AC$4:AC$104,$D38),INDIRECT("'planning_general'!BG"&amp;MATCH($D38,planning_general!AC$4:AC$104,0)+4-1),"")</f>
        <v/>
      </c>
      <c r="AM38" s="30" t="str">
        <f ca="1">IF(COUNTIF(planning_general!AD$4:AD$104,$D38),INDIRECT("'planning_general'!BH"&amp;MATCH($D38,planning_general!AD$4:AD$104,0)+4-1),"")</f>
        <v/>
      </c>
      <c r="AN38" s="30" t="str">
        <f ca="1">IF(COUNTIF(planning_general!AE$4:AE$104,$D38),INDIRECT("'planning_general'!BI"&amp;MATCH($D38,planning_general!AE$4:AE$104,0)+4-1),"")</f>
        <v/>
      </c>
    </row>
    <row r="39" spans="1:40" ht="34.950000000000003" customHeight="1" x14ac:dyDescent="0.35">
      <c r="A39" s="35">
        <f>beneficiaires!$A38</f>
        <v>37</v>
      </c>
      <c r="B39" s="28" t="str">
        <f>beneficiaires!B38</f>
        <v>Solak</v>
      </c>
      <c r="C39" s="28" t="str">
        <f>beneficiaires!C38</f>
        <v>Jonathan</v>
      </c>
      <c r="D39" s="29" t="str">
        <f>beneficiaires!D38</f>
        <v>Jonathan_Solak</v>
      </c>
      <c r="E39" s="29" t="str">
        <f>beneficiaires!E38</f>
        <v>Solak_Jonathan</v>
      </c>
      <c r="F39" s="26">
        <f t="shared" si="1"/>
        <v>1</v>
      </c>
      <c r="G39" s="26" t="str">
        <f t="shared" si="1"/>
        <v/>
      </c>
      <c r="H39" s="26" t="str">
        <f t="shared" si="1"/>
        <v/>
      </c>
      <c r="I39" s="26" t="str">
        <f t="shared" si="1"/>
        <v/>
      </c>
      <c r="J39" s="26" t="str">
        <f t="shared" si="1"/>
        <v/>
      </c>
      <c r="K39" s="26" t="str">
        <f t="shared" si="1"/>
        <v/>
      </c>
      <c r="L39" s="26">
        <f>beneficiaires!J38</f>
        <v>50</v>
      </c>
      <c r="M39" s="30" t="str">
        <f ca="1">IF(COUNTIF(planning_general!D$4:D$104,$D39),INDIRECT("'planning_general'!AH"&amp;MATCH($D39,planning_general!D$4:D$104,0)+4-1),"")</f>
        <v>Entretien</v>
      </c>
      <c r="N39" s="30" t="str">
        <f ca="1">IF(COUNTIF(planning_general!E$4:E$104,$D39),INDIRECT("'planning_general'!AI"&amp;MATCH($D39,planning_general!E$4:E$104,0)+4-1),"")</f>
        <v/>
      </c>
      <c r="O39" s="30" t="str">
        <f ca="1">IF(COUNTIF(planning_general!F$4:F$104,$D39),INDIRECT("'planning_general'!AJ"&amp;MATCH($D39,planning_general!F$4:F$104,0)+4-1),"")</f>
        <v/>
      </c>
      <c r="P39" s="30" t="str">
        <f ca="1">IF(COUNTIF(planning_general!G$4:G$104,$D39),INDIRECT("'planning_general'!AK"&amp;MATCH($D39,planning_general!G$4:G$104,0)+4-1),"")</f>
        <v/>
      </c>
      <c r="Q39" s="30" t="str">
        <f ca="1">IF(COUNTIF(planning_general!H$4:H$104,$D39),INDIRECT("'planning_general'!AL"&amp;MATCH($D39,planning_general!H$4:H$104,0)+4-1),"")</f>
        <v>Production</v>
      </c>
      <c r="R39" s="30" t="str">
        <f ca="1">IF(COUNTIF(planning_general!I$4:I$104,$D39),INDIRECT("'planning_general'!AM"&amp;MATCH($D39,planning_general!I$4:I$104,0)+4-1),"")</f>
        <v/>
      </c>
      <c r="S39" s="30" t="str">
        <f ca="1">IF(COUNTIF(planning_general!J$4:J$104,$D39),INDIRECT("'planning_general'!AN"&amp;MATCH($D39,planning_general!J$4:J$104,0)+4-1),"")</f>
        <v/>
      </c>
      <c r="T39" s="30" t="str">
        <f ca="1">IF(COUNTIF(planning_general!K$4:K$104,$D39),INDIRECT("'planning_general'!AO"&amp;MATCH($D39,planning_general!K$4:K$104,0)+4-1),"")</f>
        <v/>
      </c>
      <c r="U39" s="30" t="str">
        <f ca="1">IF(COUNTIF(planning_general!L$4:L$104,$D39),INDIRECT("'planning_general'!AP"&amp;MATCH($D39,planning_general!L$4:L$104,0)+4-1),"")</f>
        <v>Production</v>
      </c>
      <c r="V39" s="30" t="str">
        <f ca="1">IF(COUNTIF(planning_general!M$4:M$104,$D39),INDIRECT("'planning_general'!AQ"&amp;MATCH($D39,planning_general!M$4:M$104,0)+4-1),"")</f>
        <v/>
      </c>
      <c r="W39" s="30" t="str">
        <f ca="1">IF(COUNTIF(planning_general!N$4:N$104,$D39),INDIRECT("'planning_general'!AR"&amp;MATCH($D39,planning_general!N$4:N$104,0)+4-1),"")</f>
        <v/>
      </c>
      <c r="X39" s="30" t="str">
        <f ca="1">IF(COUNTIF(planning_general!O$4:O$104,$D39),INDIRECT("'planning_general'!AS"&amp;MATCH($D39,planning_general!O$4:O$104,0)+4-1),"")</f>
        <v/>
      </c>
      <c r="Y39" s="30" t="str">
        <f ca="1">IF(COUNTIF(planning_general!P$4:P$104,$D39),INDIRECT("'planning_general'!AT"&amp;MATCH($D39,planning_general!P$4:P$104,0)+4-1),"")</f>
        <v>Production</v>
      </c>
      <c r="Z39" s="30" t="str">
        <f ca="1">IF(COUNTIF(planning_general!Q$4:Q$104,$D39),INDIRECT("'planning_general'!AU"&amp;MATCH($D39,planning_general!Q$4:Q$104,0)+4-1),"")</f>
        <v/>
      </c>
      <c r="AA39" s="30" t="str">
        <f ca="1">IF(COUNTIF(planning_general!R$4:R$104,$D39),INDIRECT("'planning_general'!AV"&amp;MATCH($D39,planning_general!R$4:R$104,0)+4-1),"")</f>
        <v/>
      </c>
      <c r="AB39" s="30" t="str">
        <f ca="1">IF(COUNTIF(planning_general!S$4:S$104,$D39),INDIRECT("'planning_general'!AW"&amp;MATCH($D39,planning_general!S$4:S$104,0)+4-1),"")</f>
        <v/>
      </c>
      <c r="AC39" s="30" t="str">
        <f ca="1">IF(COUNTIF(planning_general!T$4:T$104,$D39),INDIRECT("'planning_general'!AX"&amp;MATCH($D39,planning_general!T$4:T$104,0)+4-1),"")</f>
        <v>Entretien</v>
      </c>
      <c r="AD39" s="30" t="str">
        <f ca="1">IF(COUNTIF(planning_general!U$4:U$104,$D39),INDIRECT("'planning_general'!AY"&amp;MATCH($D39,planning_general!U$4:U$104,0)+4-1),"")</f>
        <v/>
      </c>
      <c r="AE39" s="30" t="str">
        <f ca="1">IF(COUNTIF(planning_general!V$4:V$104,$D39),INDIRECT("'planning_general'!AZ"&amp;MATCH($D39,planning_general!V$4:V$104,0)+4-1),"")</f>
        <v/>
      </c>
      <c r="AF39" s="30" t="str">
        <f ca="1">IF(COUNTIF(planning_general!W$4:W$104,$D39),INDIRECT("'planning_general'!BA"&amp;MATCH($D39,planning_general!W$4:W$104,0)+4-1),"")</f>
        <v/>
      </c>
      <c r="AG39" s="30" t="str">
        <f ca="1">IF(COUNTIF(planning_general!X$4:X$104,$D39),INDIRECT("'planning_general'!BB"&amp;MATCH($D39,planning_general!X$4:X$104,0)+4-1),"")</f>
        <v/>
      </c>
      <c r="AH39" s="30" t="str">
        <f ca="1">IF(COUNTIF(planning_general!Y$4:Y$104,$D39),INDIRECT("'planning_general'!BC"&amp;MATCH($D39,planning_general!Y$4:Y$104,0)+4-1),"")</f>
        <v/>
      </c>
      <c r="AI39" s="30" t="str">
        <f ca="1">IF(COUNTIF(planning_general!Z$4:Z$104,$D39),INDIRECT("'planning_general'!BD"&amp;MATCH($D39,planning_general!Z$4:Z$104,0)+4-1),"")</f>
        <v/>
      </c>
      <c r="AJ39" s="30" t="str">
        <f ca="1">IF(COUNTIF(planning_general!AA$4:AA$104,$D39),INDIRECT("'planning_general'!BE"&amp;MATCH($D39,planning_general!AA$4:AA$104,0)+4-1),"")</f>
        <v/>
      </c>
      <c r="AK39" s="30" t="str">
        <f ca="1">IF(COUNTIF(planning_general!AB$4:AB$104,$D39),INDIRECT("'planning_general'!BF"&amp;MATCH($D39,planning_general!AB$4:AB$104,0)+4-1),"")</f>
        <v/>
      </c>
      <c r="AL39" s="30" t="str">
        <f ca="1">IF(COUNTIF(planning_general!AC$4:AC$104,$D39),INDIRECT("'planning_general'!BG"&amp;MATCH($D39,planning_general!AC$4:AC$104,0)+4-1),"")</f>
        <v/>
      </c>
      <c r="AM39" s="30" t="str">
        <f ca="1">IF(COUNTIF(planning_general!AD$4:AD$104,$D39),INDIRECT("'planning_general'!BH"&amp;MATCH($D39,planning_general!AD$4:AD$104,0)+4-1),"")</f>
        <v/>
      </c>
      <c r="AN39" s="30" t="str">
        <f ca="1">IF(COUNTIF(planning_general!AE$4:AE$104,$D39),INDIRECT("'planning_general'!BI"&amp;MATCH($D39,planning_general!AE$4:AE$104,0)+4-1),"")</f>
        <v/>
      </c>
    </row>
    <row r="40" spans="1:40" ht="34.950000000000003" customHeight="1" x14ac:dyDescent="0.35">
      <c r="A40" s="35">
        <f>beneficiaires!$A39</f>
        <v>38</v>
      </c>
      <c r="B40" s="28" t="str">
        <f>beneficiaires!B39</f>
        <v>Taha</v>
      </c>
      <c r="C40" s="28" t="str">
        <f>beneficiaires!C39</f>
        <v>Selim</v>
      </c>
      <c r="D40" s="29" t="str">
        <f>beneficiaires!D39</f>
        <v>Selim_Taha</v>
      </c>
      <c r="E40" s="29" t="str">
        <f>beneficiaires!E39</f>
        <v>Taha_Selim</v>
      </c>
      <c r="F40" s="26" t="str">
        <f t="shared" si="1"/>
        <v/>
      </c>
      <c r="G40" s="26" t="str">
        <f t="shared" si="1"/>
        <v/>
      </c>
      <c r="H40" s="26">
        <f t="shared" si="1"/>
        <v>1</v>
      </c>
      <c r="I40" s="26" t="str">
        <f t="shared" si="1"/>
        <v/>
      </c>
      <c r="J40" s="26" t="str">
        <f t="shared" si="1"/>
        <v/>
      </c>
      <c r="K40" s="26" t="str">
        <f t="shared" si="1"/>
        <v/>
      </c>
      <c r="L40" s="26">
        <f>beneficiaires!J39</f>
        <v>50</v>
      </c>
      <c r="M40" s="30" t="str">
        <f ca="1">IF(COUNTIF(planning_general!D$4:D$104,$D40),INDIRECT("'planning_general'!AH"&amp;MATCH($D40,planning_general!D$4:D$104,0)+4-1),"")</f>
        <v>Cuisine</v>
      </c>
      <c r="N40" s="30" t="str">
        <f ca="1">IF(COUNTIF(planning_general!E$4:E$104,$D40),INDIRECT("'planning_general'!AI"&amp;MATCH($D40,planning_general!E$4:E$104,0)+4-1),"")</f>
        <v/>
      </c>
      <c r="O40" s="30" t="str">
        <f ca="1">IF(COUNTIF(planning_general!F$4:F$104,$D40),INDIRECT("'planning_general'!AJ"&amp;MATCH($D40,planning_general!F$4:F$104,0)+4-1),"")</f>
        <v>Cuisine</v>
      </c>
      <c r="P40" s="30" t="str">
        <f ca="1">IF(COUNTIF(planning_general!G$4:G$104,$D40),INDIRECT("'planning_general'!AK"&amp;MATCH($D40,planning_general!G$4:G$104,0)+4-1),"")</f>
        <v/>
      </c>
      <c r="Q40" s="30" t="str">
        <f ca="1">IF(COUNTIF(planning_general!H$4:H$104,$D40),INDIRECT("'planning_general'!AL"&amp;MATCH($D40,planning_general!H$4:H$104,0)+4-1),"")</f>
        <v/>
      </c>
      <c r="R40" s="30" t="str">
        <f ca="1">IF(COUNTIF(planning_general!I$4:I$104,$D40),INDIRECT("'planning_general'!AM"&amp;MATCH($D40,planning_general!I$4:I$104,0)+4-1),"")</f>
        <v/>
      </c>
      <c r="S40" s="30" t="str">
        <f ca="1">IF(COUNTIF(planning_general!J$4:J$104,$D40),INDIRECT("'planning_general'!AN"&amp;MATCH($D40,planning_general!J$4:J$104,0)+4-1),"")</f>
        <v/>
      </c>
      <c r="T40" s="30" t="str">
        <f ca="1">IF(COUNTIF(planning_general!K$4:K$104,$D40),INDIRECT("'planning_general'!AO"&amp;MATCH($D40,planning_general!K$4:K$104,0)+4-1),"")</f>
        <v/>
      </c>
      <c r="U40" s="30" t="str">
        <f ca="1">IF(COUNTIF(planning_general!L$4:L$104,$D40),INDIRECT("'planning_general'!AP"&amp;MATCH($D40,planning_general!L$4:L$104,0)+4-1),"")</f>
        <v>Cuisine</v>
      </c>
      <c r="V40" s="30" t="str">
        <f ca="1">IF(COUNTIF(planning_general!M$4:M$104,$D40),INDIRECT("'planning_general'!AQ"&amp;MATCH($D40,planning_general!M$4:M$104,0)+4-1),"")</f>
        <v/>
      </c>
      <c r="W40" s="30" t="str">
        <f ca="1">IF(COUNTIF(planning_general!N$4:N$104,$D40),INDIRECT("'planning_general'!AR"&amp;MATCH($D40,planning_general!N$4:N$104,0)+4-1),"")</f>
        <v>Cuisine</v>
      </c>
      <c r="X40" s="30" t="str">
        <f ca="1">IF(COUNTIF(planning_general!O$4:O$104,$D40),INDIRECT("'planning_general'!AS"&amp;MATCH($D40,planning_general!O$4:O$104,0)+4-1),"")</f>
        <v/>
      </c>
      <c r="Y40" s="30" t="str">
        <f ca="1">IF(COUNTIF(planning_general!P$4:P$104,$D40),INDIRECT("'planning_general'!AT"&amp;MATCH($D40,planning_general!P$4:P$104,0)+4-1),"")</f>
        <v/>
      </c>
      <c r="Z40" s="30" t="str">
        <f ca="1">IF(COUNTIF(planning_general!Q$4:Q$104,$D40),INDIRECT("'planning_general'!AU"&amp;MATCH($D40,planning_general!Q$4:Q$104,0)+4-1),"")</f>
        <v/>
      </c>
      <c r="AA40" s="30" t="str">
        <f ca="1">IF(COUNTIF(planning_general!R$4:R$104,$D40),INDIRECT("'planning_general'!AV"&amp;MATCH($D40,planning_general!R$4:R$104,0)+4-1),"")</f>
        <v>Cuisine</v>
      </c>
      <c r="AB40" s="30" t="str">
        <f ca="1">IF(COUNTIF(planning_general!S$4:S$104,$D40),INDIRECT("'planning_general'!AW"&amp;MATCH($D40,planning_general!S$4:S$104,0)+4-1),"")</f>
        <v/>
      </c>
      <c r="AC40" s="30" t="str">
        <f ca="1">IF(COUNTIF(planning_general!T$4:T$104,$D40),INDIRECT("'planning_general'!AX"&amp;MATCH($D40,planning_general!T$4:T$104,0)+4-1),"")</f>
        <v/>
      </c>
      <c r="AD40" s="30" t="str">
        <f ca="1">IF(COUNTIF(planning_general!U$4:U$104,$D40),INDIRECT("'planning_general'!AY"&amp;MATCH($D40,planning_general!U$4:U$104,0)+4-1),"")</f>
        <v/>
      </c>
      <c r="AE40" s="30" t="str">
        <f ca="1">IF(COUNTIF(planning_general!V$4:V$104,$D40),INDIRECT("'planning_general'!AZ"&amp;MATCH($D40,planning_general!V$4:V$104,0)+4-1),"")</f>
        <v/>
      </c>
      <c r="AF40" s="30" t="str">
        <f ca="1">IF(COUNTIF(planning_general!W$4:W$104,$D40),INDIRECT("'planning_general'!BA"&amp;MATCH($D40,planning_general!W$4:W$104,0)+4-1),"")</f>
        <v/>
      </c>
      <c r="AG40" s="30" t="str">
        <f ca="1">IF(COUNTIF(planning_general!X$4:X$104,$D40),INDIRECT("'planning_general'!BB"&amp;MATCH($D40,planning_general!X$4:X$104,0)+4-1),"")</f>
        <v/>
      </c>
      <c r="AH40" s="30" t="str">
        <f ca="1">IF(COUNTIF(planning_general!Y$4:Y$104,$D40),INDIRECT("'planning_general'!BC"&amp;MATCH($D40,planning_general!Y$4:Y$104,0)+4-1),"")</f>
        <v/>
      </c>
      <c r="AI40" s="30" t="str">
        <f ca="1">IF(COUNTIF(planning_general!Z$4:Z$104,$D40),INDIRECT("'planning_general'!BD"&amp;MATCH($D40,planning_general!Z$4:Z$104,0)+4-1),"")</f>
        <v/>
      </c>
      <c r="AJ40" s="30" t="str">
        <f ca="1">IF(COUNTIF(planning_general!AA$4:AA$104,$D40),INDIRECT("'planning_general'!BE"&amp;MATCH($D40,planning_general!AA$4:AA$104,0)+4-1),"")</f>
        <v/>
      </c>
      <c r="AK40" s="30" t="str">
        <f ca="1">IF(COUNTIF(planning_general!AB$4:AB$104,$D40),INDIRECT("'planning_general'!BF"&amp;MATCH($D40,planning_general!AB$4:AB$104,0)+4-1),"")</f>
        <v/>
      </c>
      <c r="AL40" s="30" t="str">
        <f ca="1">IF(COUNTIF(planning_general!AC$4:AC$104,$D40),INDIRECT("'planning_general'!BG"&amp;MATCH($D40,planning_general!AC$4:AC$104,0)+4-1),"")</f>
        <v/>
      </c>
      <c r="AM40" s="30" t="str">
        <f ca="1">IF(COUNTIF(planning_general!AD$4:AD$104,$D40),INDIRECT("'planning_general'!BH"&amp;MATCH($D40,planning_general!AD$4:AD$104,0)+4-1),"")</f>
        <v/>
      </c>
      <c r="AN40" s="30" t="str">
        <f ca="1">IF(COUNTIF(planning_general!AE$4:AE$104,$D40),INDIRECT("'planning_general'!BI"&amp;MATCH($D40,planning_general!AE$4:AE$104,0)+4-1),"")</f>
        <v/>
      </c>
    </row>
    <row r="41" spans="1:40" ht="34.950000000000003" customHeight="1" x14ac:dyDescent="0.35">
      <c r="A41" s="35">
        <f>beneficiaires!$A40</f>
        <v>39</v>
      </c>
      <c r="B41" s="28" t="str">
        <f>beneficiaires!B40</f>
        <v>Trinkler</v>
      </c>
      <c r="C41" s="28" t="str">
        <f>beneficiaires!C40</f>
        <v>Yvonne</v>
      </c>
      <c r="D41" s="29" t="str">
        <f>beneficiaires!D40</f>
        <v>Yvonne_Trinkler</v>
      </c>
      <c r="E41" s="29" t="str">
        <f>beneficiaires!E40</f>
        <v>Trinkler_Yvonne</v>
      </c>
      <c r="F41" s="26">
        <f t="shared" si="1"/>
        <v>1</v>
      </c>
      <c r="G41" s="26" t="str">
        <f t="shared" si="1"/>
        <v/>
      </c>
      <c r="H41" s="26" t="str">
        <f t="shared" si="1"/>
        <v/>
      </c>
      <c r="I41" s="26" t="str">
        <f t="shared" si="1"/>
        <v/>
      </c>
      <c r="J41" s="26" t="str">
        <f t="shared" si="1"/>
        <v/>
      </c>
      <c r="K41" s="26" t="str">
        <f t="shared" si="1"/>
        <v/>
      </c>
      <c r="L41" s="26">
        <f>beneficiaires!J40</f>
        <v>30</v>
      </c>
      <c r="M41" s="30" t="str">
        <f ca="1">IF(COUNTIF(planning_general!D$4:D$104,$D41),INDIRECT("'planning_general'!AH"&amp;MATCH($D41,planning_general!D$4:D$104,0)+4-1),"")</f>
        <v/>
      </c>
      <c r="N41" s="30" t="str">
        <f ca="1">IF(COUNTIF(planning_general!E$4:E$104,$D41),INDIRECT("'planning_general'!AI"&amp;MATCH($D41,planning_general!E$4:E$104,0)+4-1),"")</f>
        <v/>
      </c>
      <c r="O41" s="30" t="str">
        <f ca="1">IF(COUNTIF(planning_general!F$4:F$104,$D41),INDIRECT("'planning_general'!AJ"&amp;MATCH($D41,planning_general!F$4:F$104,0)+4-1),"")</f>
        <v>Production</v>
      </c>
      <c r="P41" s="30" t="str">
        <f ca="1">IF(COUNTIF(planning_general!G$4:G$104,$D41),INDIRECT("'planning_general'!AK"&amp;MATCH($D41,planning_general!G$4:G$104,0)+4-1),"")</f>
        <v/>
      </c>
      <c r="Q41" s="30" t="str">
        <f ca="1">IF(COUNTIF(planning_general!H$4:H$104,$D41),INDIRECT("'planning_general'!AL"&amp;MATCH($D41,planning_general!H$4:H$104,0)+4-1),"")</f>
        <v/>
      </c>
      <c r="R41" s="30" t="str">
        <f ca="1">IF(COUNTIF(planning_general!I$4:I$104,$D41),INDIRECT("'planning_general'!AM"&amp;MATCH($D41,planning_general!I$4:I$104,0)+4-1),"")</f>
        <v/>
      </c>
      <c r="S41" s="30" t="str">
        <f ca="1">IF(COUNTIF(planning_general!J$4:J$104,$D41),INDIRECT("'planning_general'!AN"&amp;MATCH($D41,planning_general!J$4:J$104,0)+4-1),"")</f>
        <v/>
      </c>
      <c r="T41" s="30" t="str">
        <f ca="1">IF(COUNTIF(planning_general!K$4:K$104,$D41),INDIRECT("'planning_general'!AO"&amp;MATCH($D41,planning_general!K$4:K$104,0)+4-1),"")</f>
        <v/>
      </c>
      <c r="U41" s="30" t="str">
        <f ca="1">IF(COUNTIF(planning_general!L$4:L$104,$D41),INDIRECT("'planning_general'!AP"&amp;MATCH($D41,planning_general!L$4:L$104,0)+4-1),"")</f>
        <v/>
      </c>
      <c r="V41" s="30" t="str">
        <f ca="1">IF(COUNTIF(planning_general!M$4:M$104,$D41),INDIRECT("'planning_general'!AQ"&amp;MATCH($D41,planning_general!M$4:M$104,0)+4-1),"")</f>
        <v/>
      </c>
      <c r="W41" s="30" t="str">
        <f ca="1">IF(COUNTIF(planning_general!N$4:N$104,$D41),INDIRECT("'planning_general'!AR"&amp;MATCH($D41,planning_general!N$4:N$104,0)+4-1),"")</f>
        <v>Production</v>
      </c>
      <c r="X41" s="30" t="str">
        <f ca="1">IF(COUNTIF(planning_general!O$4:O$104,$D41),INDIRECT("'planning_general'!AS"&amp;MATCH($D41,planning_general!O$4:O$104,0)+4-1),"")</f>
        <v/>
      </c>
      <c r="Y41" s="30" t="str">
        <f ca="1">IF(COUNTIF(planning_general!P$4:P$104,$D41),INDIRECT("'planning_general'!AT"&amp;MATCH($D41,planning_general!P$4:P$104,0)+4-1),"")</f>
        <v/>
      </c>
      <c r="Z41" s="30" t="str">
        <f ca="1">IF(COUNTIF(planning_general!Q$4:Q$104,$D41),INDIRECT("'planning_general'!AU"&amp;MATCH($D41,planning_general!Q$4:Q$104,0)+4-1),"")</f>
        <v/>
      </c>
      <c r="AA41" s="30" t="str">
        <f ca="1">IF(COUNTIF(planning_general!R$4:R$104,$D41),INDIRECT("'planning_general'!AV"&amp;MATCH($D41,planning_general!R$4:R$104,0)+4-1),"")</f>
        <v>Production</v>
      </c>
      <c r="AB41" s="30" t="str">
        <f ca="1">IF(COUNTIF(planning_general!S$4:S$104,$D41),INDIRECT("'planning_general'!AW"&amp;MATCH($D41,planning_general!S$4:S$104,0)+4-1),"")</f>
        <v/>
      </c>
      <c r="AC41" s="30" t="str">
        <f ca="1">IF(COUNTIF(planning_general!T$4:T$104,$D41),INDIRECT("'planning_general'!AX"&amp;MATCH($D41,planning_general!T$4:T$104,0)+4-1),"")</f>
        <v/>
      </c>
      <c r="AD41" s="30" t="str">
        <f ca="1">IF(COUNTIF(planning_general!U$4:U$104,$D41),INDIRECT("'planning_general'!AY"&amp;MATCH($D41,planning_general!U$4:U$104,0)+4-1),"")</f>
        <v/>
      </c>
      <c r="AE41" s="30" t="str">
        <f ca="1">IF(COUNTIF(planning_general!V$4:V$104,$D41),INDIRECT("'planning_general'!AZ"&amp;MATCH($D41,planning_general!V$4:V$104,0)+4-1),"")</f>
        <v/>
      </c>
      <c r="AF41" s="30" t="str">
        <f ca="1">IF(COUNTIF(planning_general!W$4:W$104,$D41),INDIRECT("'planning_general'!BA"&amp;MATCH($D41,planning_general!W$4:W$104,0)+4-1),"")</f>
        <v/>
      </c>
      <c r="AG41" s="30" t="str">
        <f ca="1">IF(COUNTIF(planning_general!X$4:X$104,$D41),INDIRECT("'planning_general'!BB"&amp;MATCH($D41,planning_general!X$4:X$104,0)+4-1),"")</f>
        <v/>
      </c>
      <c r="AH41" s="30" t="str">
        <f ca="1">IF(COUNTIF(planning_general!Y$4:Y$104,$D41),INDIRECT("'planning_general'!BC"&amp;MATCH($D41,planning_general!Y$4:Y$104,0)+4-1),"")</f>
        <v/>
      </c>
      <c r="AI41" s="30" t="str">
        <f ca="1">IF(COUNTIF(planning_general!Z$4:Z$104,$D41),INDIRECT("'planning_general'!BD"&amp;MATCH($D41,planning_general!Z$4:Z$104,0)+4-1),"")</f>
        <v/>
      </c>
      <c r="AJ41" s="30" t="str">
        <f ca="1">IF(COUNTIF(planning_general!AA$4:AA$104,$D41),INDIRECT("'planning_general'!BE"&amp;MATCH($D41,planning_general!AA$4:AA$104,0)+4-1),"")</f>
        <v/>
      </c>
      <c r="AK41" s="30" t="str">
        <f ca="1">IF(COUNTIF(planning_general!AB$4:AB$104,$D41),INDIRECT("'planning_general'!BF"&amp;MATCH($D41,planning_general!AB$4:AB$104,0)+4-1),"")</f>
        <v/>
      </c>
      <c r="AL41" s="30" t="str">
        <f ca="1">IF(COUNTIF(planning_general!AC$4:AC$104,$D41),INDIRECT("'planning_general'!BG"&amp;MATCH($D41,planning_general!AC$4:AC$104,0)+4-1),"")</f>
        <v/>
      </c>
      <c r="AM41" s="30" t="str">
        <f ca="1">IF(COUNTIF(planning_general!AD$4:AD$104,$D41),INDIRECT("'planning_general'!BH"&amp;MATCH($D41,planning_general!AD$4:AD$104,0)+4-1),"")</f>
        <v/>
      </c>
      <c r="AN41" s="30" t="str">
        <f ca="1">IF(COUNTIF(planning_general!AE$4:AE$104,$D41),INDIRECT("'planning_general'!BI"&amp;MATCH($D41,planning_general!AE$4:AE$104,0)+4-1),"")</f>
        <v/>
      </c>
    </row>
    <row r="42" spans="1:40" ht="34.950000000000003" customHeight="1" x14ac:dyDescent="0.35">
      <c r="A42" s="35">
        <f>beneficiaires!$A41</f>
        <v>40</v>
      </c>
      <c r="B42" s="28" t="str">
        <f>beneficiaires!B41</f>
        <v>Tschann</v>
      </c>
      <c r="C42" s="28" t="str">
        <f>beneficiaires!C41</f>
        <v>Emmanuelle</v>
      </c>
      <c r="D42" s="29" t="str">
        <f>beneficiaires!D41</f>
        <v>Emmanuelle_Tschann</v>
      </c>
      <c r="E42" s="29" t="str">
        <f>beneficiaires!E41</f>
        <v>Tschann_Emmanuelle</v>
      </c>
      <c r="F42" s="26" t="str">
        <f t="shared" si="1"/>
        <v/>
      </c>
      <c r="G42" s="26">
        <f t="shared" si="1"/>
        <v>1</v>
      </c>
      <c r="H42" s="26" t="str">
        <f t="shared" si="1"/>
        <v/>
      </c>
      <c r="I42" s="26" t="str">
        <f t="shared" si="1"/>
        <v/>
      </c>
      <c r="J42" s="26" t="str">
        <f t="shared" si="1"/>
        <v/>
      </c>
      <c r="K42" s="26" t="str">
        <f t="shared" si="1"/>
        <v/>
      </c>
      <c r="L42" s="26">
        <f>beneficiaires!J41</f>
        <v>40</v>
      </c>
      <c r="M42" s="30" t="str">
        <f ca="1">IF(COUNTIF(planning_general!D$4:D$104,$D42),INDIRECT("'planning_general'!AH"&amp;MATCH($D42,planning_general!D$4:D$104,0)+4-1),"")</f>
        <v/>
      </c>
      <c r="N42" s="30" t="str">
        <f ca="1">IF(COUNTIF(planning_general!E$4:E$104,$D42),INDIRECT("'planning_general'!AI"&amp;MATCH($D42,planning_general!E$4:E$104,0)+4-1),"")</f>
        <v/>
      </c>
      <c r="O42" s="30" t="str">
        <f ca="1">IF(COUNTIF(planning_general!F$4:F$104,$D42),INDIRECT("'planning_general'!AJ"&amp;MATCH($D42,planning_general!F$4:F$104,0)+4-1),"")</f>
        <v/>
      </c>
      <c r="P42" s="30" t="str">
        <f ca="1">IF(COUNTIF(planning_general!G$4:G$104,$D42),INDIRECT("'planning_general'!AK"&amp;MATCH($D42,planning_general!G$4:G$104,0)+4-1),"")</f>
        <v/>
      </c>
      <c r="Q42" s="30" t="str">
        <f ca="1">IF(COUNTIF(planning_general!H$4:H$104,$D42),INDIRECT("'planning_general'!AL"&amp;MATCH($D42,planning_general!H$4:H$104,0)+4-1),"")</f>
        <v>Animation</v>
      </c>
      <c r="R42" s="30" t="str">
        <f ca="1">IF(COUNTIF(planning_general!I$4:I$104,$D42),INDIRECT("'planning_general'!AM"&amp;MATCH($D42,planning_general!I$4:I$104,0)+4-1),"")</f>
        <v/>
      </c>
      <c r="S42" s="30" t="str">
        <f ca="1">IF(COUNTIF(planning_general!J$4:J$104,$D42),INDIRECT("'planning_general'!AN"&amp;MATCH($D42,planning_general!J$4:J$104,0)+4-1),"")</f>
        <v>Animation</v>
      </c>
      <c r="T42" s="30" t="str">
        <f ca="1">IF(COUNTIF(planning_general!K$4:K$104,$D42),INDIRECT("'planning_general'!AO"&amp;MATCH($D42,planning_general!K$4:K$104,0)+4-1),"")</f>
        <v/>
      </c>
      <c r="U42" s="30" t="str">
        <f ca="1">IF(COUNTIF(planning_general!L$4:L$104,$D42),INDIRECT("'planning_general'!AP"&amp;MATCH($D42,planning_general!L$4:L$104,0)+4-1),"")</f>
        <v/>
      </c>
      <c r="V42" s="30" t="str">
        <f ca="1">IF(COUNTIF(planning_general!M$4:M$104,$D42),INDIRECT("'planning_general'!AQ"&amp;MATCH($D42,planning_general!M$4:M$104,0)+4-1),"")</f>
        <v/>
      </c>
      <c r="W42" s="30" t="str">
        <f ca="1">IF(COUNTIF(planning_general!N$4:N$104,$D42),INDIRECT("'planning_general'!AR"&amp;MATCH($D42,planning_general!N$4:N$104,0)+4-1),"")</f>
        <v/>
      </c>
      <c r="X42" s="30" t="str">
        <f ca="1">IF(COUNTIF(planning_general!O$4:O$104,$D42),INDIRECT("'planning_general'!AS"&amp;MATCH($D42,planning_general!O$4:O$104,0)+4-1),"")</f>
        <v/>
      </c>
      <c r="Y42" s="30" t="str">
        <f ca="1">IF(COUNTIF(planning_general!P$4:P$104,$D42),INDIRECT("'planning_general'!AT"&amp;MATCH($D42,planning_general!P$4:P$104,0)+4-1),"")</f>
        <v/>
      </c>
      <c r="Z42" s="30" t="str">
        <f ca="1">IF(COUNTIF(planning_general!Q$4:Q$104,$D42),INDIRECT("'planning_general'!AU"&amp;MATCH($D42,planning_general!Q$4:Q$104,0)+4-1),"")</f>
        <v/>
      </c>
      <c r="AA42" s="30" t="str">
        <f ca="1">IF(COUNTIF(planning_general!R$4:R$104,$D42),INDIRECT("'planning_general'!AV"&amp;MATCH($D42,planning_general!R$4:R$104,0)+4-1),"")</f>
        <v/>
      </c>
      <c r="AB42" s="30" t="str">
        <f ca="1">IF(COUNTIF(planning_general!S$4:S$104,$D42),INDIRECT("'planning_general'!AW"&amp;MATCH($D42,planning_general!S$4:S$104,0)+4-1),"")</f>
        <v/>
      </c>
      <c r="AC42" s="30" t="str">
        <f ca="1">IF(COUNTIF(planning_general!T$4:T$104,$D42),INDIRECT("'planning_general'!AX"&amp;MATCH($D42,planning_general!T$4:T$104,0)+4-1),"")</f>
        <v>Animation</v>
      </c>
      <c r="AD42" s="30" t="str">
        <f ca="1">IF(COUNTIF(planning_general!U$4:U$104,$D42),INDIRECT("'planning_general'!AY"&amp;MATCH($D42,planning_general!U$4:U$104,0)+4-1),"")</f>
        <v/>
      </c>
      <c r="AE42" s="30" t="str">
        <f ca="1">IF(COUNTIF(planning_general!V$4:V$104,$D42),INDIRECT("'planning_general'!AZ"&amp;MATCH($D42,planning_general!V$4:V$104,0)+4-1),"")</f>
        <v>Animation</v>
      </c>
      <c r="AF42" s="30" t="str">
        <f ca="1">IF(COUNTIF(planning_general!W$4:W$104,$D42),INDIRECT("'planning_general'!BA"&amp;MATCH($D42,planning_general!W$4:W$104,0)+4-1),"")</f>
        <v/>
      </c>
      <c r="AG42" s="30" t="str">
        <f ca="1">IF(COUNTIF(planning_general!X$4:X$104,$D42),INDIRECT("'planning_general'!BB"&amp;MATCH($D42,planning_general!X$4:X$104,0)+4-1),"")</f>
        <v/>
      </c>
      <c r="AH42" s="30" t="str">
        <f ca="1">IF(COUNTIF(planning_general!Y$4:Y$104,$D42),INDIRECT("'planning_general'!BC"&amp;MATCH($D42,planning_general!Y$4:Y$104,0)+4-1),"")</f>
        <v/>
      </c>
      <c r="AI42" s="30" t="str">
        <f ca="1">IF(COUNTIF(planning_general!Z$4:Z$104,$D42),INDIRECT("'planning_general'!BD"&amp;MATCH($D42,planning_general!Z$4:Z$104,0)+4-1),"")</f>
        <v/>
      </c>
      <c r="AJ42" s="30" t="str">
        <f ca="1">IF(COUNTIF(planning_general!AA$4:AA$104,$D42),INDIRECT("'planning_general'!BE"&amp;MATCH($D42,planning_general!AA$4:AA$104,0)+4-1),"")</f>
        <v/>
      </c>
      <c r="AK42" s="30" t="str">
        <f ca="1">IF(COUNTIF(planning_general!AB$4:AB$104,$D42),INDIRECT("'planning_general'!BF"&amp;MATCH($D42,planning_general!AB$4:AB$104,0)+4-1),"")</f>
        <v/>
      </c>
      <c r="AL42" s="30" t="str">
        <f ca="1">IF(COUNTIF(planning_general!AC$4:AC$104,$D42),INDIRECT("'planning_general'!BG"&amp;MATCH($D42,planning_general!AC$4:AC$104,0)+4-1),"")</f>
        <v/>
      </c>
      <c r="AM42" s="30" t="str">
        <f ca="1">IF(COUNTIF(planning_general!AD$4:AD$104,$D42),INDIRECT("'planning_general'!BH"&amp;MATCH($D42,planning_general!AD$4:AD$104,0)+4-1),"")</f>
        <v/>
      </c>
      <c r="AN42" s="30" t="str">
        <f ca="1">IF(COUNTIF(planning_general!AE$4:AE$104,$D42),INDIRECT("'planning_general'!BI"&amp;MATCH($D42,planning_general!AE$4:AE$104,0)+4-1),"")</f>
        <v/>
      </c>
    </row>
    <row r="43" spans="1:40" ht="34.950000000000003" customHeight="1" x14ac:dyDescent="0.35">
      <c r="A43" s="35">
        <f>beneficiaires!$A42</f>
        <v>41</v>
      </c>
      <c r="B43" s="28" t="str">
        <f>beneficiaires!B42</f>
        <v>Zullo</v>
      </c>
      <c r="C43" s="28" t="str">
        <f>beneficiaires!C42</f>
        <v>Margharita</v>
      </c>
      <c r="D43" s="29" t="str">
        <f>beneficiaires!D42</f>
        <v>Margharita_Zullo</v>
      </c>
      <c r="E43" s="29" t="str">
        <f>beneficiaires!E42</f>
        <v>Zullo_Margharita</v>
      </c>
      <c r="F43" s="26">
        <f t="shared" si="1"/>
        <v>1</v>
      </c>
      <c r="G43" s="26" t="str">
        <f t="shared" si="1"/>
        <v/>
      </c>
      <c r="H43" s="26" t="str">
        <f t="shared" si="1"/>
        <v/>
      </c>
      <c r="I43" s="26" t="str">
        <f t="shared" si="1"/>
        <v/>
      </c>
      <c r="J43" s="26" t="str">
        <f t="shared" si="1"/>
        <v/>
      </c>
      <c r="K43" s="26" t="str">
        <f t="shared" si="1"/>
        <v/>
      </c>
      <c r="L43" s="26">
        <f>beneficiaires!J42</f>
        <v>40</v>
      </c>
      <c r="M43" s="30" t="str">
        <f ca="1">IF(COUNTIF(planning_general!D$4:D$104,$D43),INDIRECT("'planning_general'!AH"&amp;MATCH($D43,planning_general!D$4:D$104,0)+4-1),"")</f>
        <v/>
      </c>
      <c r="N43" s="30" t="str">
        <f ca="1">IF(COUNTIF(planning_general!E$4:E$104,$D43),INDIRECT("'planning_general'!AI"&amp;MATCH($D43,planning_general!E$4:E$104,0)+4-1),"")</f>
        <v/>
      </c>
      <c r="O43" s="30" t="str">
        <f ca="1">IF(COUNTIF(planning_general!F$4:F$104,$D43),INDIRECT("'planning_general'!AJ"&amp;MATCH($D43,planning_general!F$4:F$104,0)+4-1),"")</f>
        <v>Production</v>
      </c>
      <c r="P43" s="30" t="str">
        <f ca="1">IF(COUNTIF(planning_general!G$4:G$104,$D43),INDIRECT("'planning_general'!AK"&amp;MATCH($D43,planning_general!G$4:G$104,0)+4-1),"")</f>
        <v/>
      </c>
      <c r="Q43" s="30" t="str">
        <f ca="1">IF(COUNTIF(planning_general!H$4:H$104,$D43),INDIRECT("'planning_general'!AL"&amp;MATCH($D43,planning_general!H$4:H$104,0)+4-1),"")</f>
        <v/>
      </c>
      <c r="R43" s="30" t="str">
        <f ca="1">IF(COUNTIF(planning_general!I$4:I$104,$D43),INDIRECT("'planning_general'!AM"&amp;MATCH($D43,planning_general!I$4:I$104,0)+4-1),"")</f>
        <v/>
      </c>
      <c r="S43" s="30" t="str">
        <f ca="1">IF(COUNTIF(planning_general!J$4:J$104,$D43),INDIRECT("'planning_general'!AN"&amp;MATCH($D43,planning_general!J$4:J$104,0)+4-1),"")</f>
        <v/>
      </c>
      <c r="T43" s="30" t="str">
        <f ca="1">IF(COUNTIF(planning_general!K$4:K$104,$D43),INDIRECT("'planning_general'!AO"&amp;MATCH($D43,planning_general!K$4:K$104,0)+4-1),"")</f>
        <v/>
      </c>
      <c r="U43" s="30" t="str">
        <f ca="1">IF(COUNTIF(planning_general!L$4:L$104,$D43),INDIRECT("'planning_general'!AP"&amp;MATCH($D43,planning_general!L$4:L$104,0)+4-1),"")</f>
        <v>Entretien</v>
      </c>
      <c r="V43" s="30" t="str">
        <f ca="1">IF(COUNTIF(planning_general!M$4:M$104,$D43),INDIRECT("'planning_general'!AQ"&amp;MATCH($D43,planning_general!M$4:M$104,0)+4-1),"")</f>
        <v/>
      </c>
      <c r="W43" s="30" t="str">
        <f ca="1">IF(COUNTIF(planning_general!N$4:N$104,$D43),INDIRECT("'planning_general'!AR"&amp;MATCH($D43,planning_general!N$4:N$104,0)+4-1),"")</f>
        <v/>
      </c>
      <c r="X43" s="30" t="str">
        <f ca="1">IF(COUNTIF(planning_general!O$4:O$104,$D43),INDIRECT("'planning_general'!AS"&amp;MATCH($D43,planning_general!O$4:O$104,0)+4-1),"")</f>
        <v/>
      </c>
      <c r="Y43" s="30" t="str">
        <f ca="1">IF(COUNTIF(planning_general!P$4:P$104,$D43),INDIRECT("'planning_general'!AT"&amp;MATCH($D43,planning_general!P$4:P$104,0)+4-1),"")</f>
        <v>Production</v>
      </c>
      <c r="Z43" s="30" t="str">
        <f ca="1">IF(COUNTIF(planning_general!Q$4:Q$104,$D43),INDIRECT("'planning_general'!AU"&amp;MATCH($D43,planning_general!Q$4:Q$104,0)+4-1),"")</f>
        <v/>
      </c>
      <c r="AA43" s="30" t="str">
        <f ca="1">IF(COUNTIF(planning_general!R$4:R$104,$D43),INDIRECT("'planning_general'!AV"&amp;MATCH($D43,planning_general!R$4:R$104,0)+4-1),"")</f>
        <v>Production</v>
      </c>
      <c r="AB43" s="30" t="str">
        <f ca="1">IF(COUNTIF(planning_general!S$4:S$104,$D43),INDIRECT("'planning_general'!AW"&amp;MATCH($D43,planning_general!S$4:S$104,0)+4-1),"")</f>
        <v/>
      </c>
      <c r="AC43" s="30" t="str">
        <f ca="1">IF(COUNTIF(planning_general!T$4:T$104,$D43),INDIRECT("'planning_general'!AX"&amp;MATCH($D43,planning_general!T$4:T$104,0)+4-1),"")</f>
        <v/>
      </c>
      <c r="AD43" s="30" t="str">
        <f ca="1">IF(COUNTIF(planning_general!U$4:U$104,$D43),INDIRECT("'planning_general'!AY"&amp;MATCH($D43,planning_general!U$4:U$104,0)+4-1),"")</f>
        <v/>
      </c>
      <c r="AE43" s="30" t="str">
        <f ca="1">IF(COUNTIF(planning_general!V$4:V$104,$D43),INDIRECT("'planning_general'!AZ"&amp;MATCH($D43,planning_general!V$4:V$104,0)+4-1),"")</f>
        <v/>
      </c>
      <c r="AF43" s="30" t="str">
        <f ca="1">IF(COUNTIF(planning_general!W$4:W$104,$D43),INDIRECT("'planning_general'!BA"&amp;MATCH($D43,planning_general!W$4:W$104,0)+4-1),"")</f>
        <v/>
      </c>
      <c r="AG43" s="30" t="str">
        <f ca="1">IF(COUNTIF(planning_general!X$4:X$104,$D43),INDIRECT("'planning_general'!BB"&amp;MATCH($D43,planning_general!X$4:X$104,0)+4-1),"")</f>
        <v/>
      </c>
      <c r="AH43" s="30" t="str">
        <f ca="1">IF(COUNTIF(planning_general!Y$4:Y$104,$D43),INDIRECT("'planning_general'!BC"&amp;MATCH($D43,planning_general!Y$4:Y$104,0)+4-1),"")</f>
        <v/>
      </c>
      <c r="AI43" s="30" t="str">
        <f ca="1">IF(COUNTIF(planning_general!Z$4:Z$104,$D43),INDIRECT("'planning_general'!BD"&amp;MATCH($D43,planning_general!Z$4:Z$104,0)+4-1),"")</f>
        <v/>
      </c>
      <c r="AJ43" s="30" t="str">
        <f ca="1">IF(COUNTIF(planning_general!AA$4:AA$104,$D43),INDIRECT("'planning_general'!BE"&amp;MATCH($D43,planning_general!AA$4:AA$104,0)+4-1),"")</f>
        <v/>
      </c>
      <c r="AK43" s="30" t="str">
        <f ca="1">IF(COUNTIF(planning_general!AB$4:AB$104,$D43),INDIRECT("'planning_general'!BF"&amp;MATCH($D43,planning_general!AB$4:AB$104,0)+4-1),"")</f>
        <v/>
      </c>
      <c r="AL43" s="30" t="str">
        <f ca="1">IF(COUNTIF(planning_general!AC$4:AC$104,$D43),INDIRECT("'planning_general'!BG"&amp;MATCH($D43,planning_general!AC$4:AC$104,0)+4-1),"")</f>
        <v/>
      </c>
      <c r="AM43" s="30" t="str">
        <f ca="1">IF(COUNTIF(planning_general!AD$4:AD$104,$D43),INDIRECT("'planning_general'!BH"&amp;MATCH($D43,planning_general!AD$4:AD$104,0)+4-1),"")</f>
        <v/>
      </c>
      <c r="AN43" s="30" t="str">
        <f ca="1">IF(COUNTIF(planning_general!AE$4:AE$104,$D43),INDIRECT("'planning_general'!BI"&amp;MATCH($D43,planning_general!AE$4:AE$104,0)+4-1),"")</f>
        <v/>
      </c>
    </row>
    <row r="44" spans="1:40" ht="34.950000000000003" customHeight="1" x14ac:dyDescent="0.35">
      <c r="A44" s="35">
        <f>beneficiaires!$A43</f>
        <v>42</v>
      </c>
      <c r="B44" s="28" t="str">
        <f>beneficiaires!B43</f>
        <v>zz</v>
      </c>
      <c r="C44" s="28">
        <f>beneficiaires!C43</f>
        <v>0</v>
      </c>
      <c r="D44" s="29" t="str">
        <f>beneficiaires!D43</f>
        <v>_zz</v>
      </c>
      <c r="E44" s="29" t="str">
        <f>beneficiaires!E43</f>
        <v>zz_</v>
      </c>
      <c r="F44" s="26" t="str">
        <f t="shared" si="1"/>
        <v/>
      </c>
      <c r="G44" s="26" t="str">
        <f t="shared" si="1"/>
        <v/>
      </c>
      <c r="H44" s="26" t="str">
        <f t="shared" si="1"/>
        <v/>
      </c>
      <c r="I44" s="26" t="str">
        <f t="shared" si="1"/>
        <v/>
      </c>
      <c r="J44" s="26" t="str">
        <f t="shared" si="1"/>
        <v/>
      </c>
      <c r="K44" s="26" t="str">
        <f t="shared" si="1"/>
        <v/>
      </c>
      <c r="L44" s="26">
        <f>beneficiaires!J43</f>
        <v>0</v>
      </c>
      <c r="M44" s="30" t="str">
        <f ca="1">IF(COUNTIF(planning_general!D$4:D$104,$D44),INDIRECT("'planning_general'!AH"&amp;MATCH($D44,planning_general!D$4:D$104,0)+4-1),"")</f>
        <v/>
      </c>
      <c r="N44" s="30" t="str">
        <f ca="1">IF(COUNTIF(planning_general!E$4:E$104,$D44),INDIRECT("'planning_general'!AI"&amp;MATCH($D44,planning_general!E$4:E$104,0)+4-1),"")</f>
        <v/>
      </c>
      <c r="O44" s="30" t="str">
        <f ca="1">IF(COUNTIF(planning_general!F$4:F$104,$D44),INDIRECT("'planning_general'!AJ"&amp;MATCH($D44,planning_general!F$4:F$104,0)+4-1),"")</f>
        <v/>
      </c>
      <c r="P44" s="30" t="str">
        <f ca="1">IF(COUNTIF(planning_general!G$4:G$104,$D44),INDIRECT("'planning_general'!AK"&amp;MATCH($D44,planning_general!G$4:G$104,0)+4-1),"")</f>
        <v/>
      </c>
      <c r="Q44" s="30" t="str">
        <f ca="1">IF(COUNTIF(planning_general!H$4:H$104,$D44),INDIRECT("'planning_general'!AL"&amp;MATCH($D44,planning_general!H$4:H$104,0)+4-1),"")</f>
        <v/>
      </c>
      <c r="R44" s="30" t="str">
        <f ca="1">IF(COUNTIF(planning_general!I$4:I$104,$D44),INDIRECT("'planning_general'!AM"&amp;MATCH($D44,planning_general!I$4:I$104,0)+4-1),"")</f>
        <v/>
      </c>
      <c r="S44" s="30" t="str">
        <f ca="1">IF(COUNTIF(planning_general!J$4:J$104,$D44),INDIRECT("'planning_general'!AN"&amp;MATCH($D44,planning_general!J$4:J$104,0)+4-1),"")</f>
        <v/>
      </c>
      <c r="T44" s="30" t="str">
        <f ca="1">IF(COUNTIF(planning_general!K$4:K$104,$D44),INDIRECT("'planning_general'!AO"&amp;MATCH($D44,planning_general!K$4:K$104,0)+4-1),"")</f>
        <v/>
      </c>
      <c r="U44" s="30" t="str">
        <f ca="1">IF(COUNTIF(planning_general!L$4:L$104,$D44),INDIRECT("'planning_general'!AP"&amp;MATCH($D44,planning_general!L$4:L$104,0)+4-1),"")</f>
        <v/>
      </c>
      <c r="V44" s="30" t="str">
        <f ca="1">IF(COUNTIF(planning_general!M$4:M$104,$D44),INDIRECT("'planning_general'!AQ"&amp;MATCH($D44,planning_general!M$4:M$104,0)+4-1),"")</f>
        <v/>
      </c>
      <c r="W44" s="30" t="str">
        <f ca="1">IF(COUNTIF(planning_general!N$4:N$104,$D44),INDIRECT("'planning_general'!AR"&amp;MATCH($D44,planning_general!N$4:N$104,0)+4-1),"")</f>
        <v/>
      </c>
      <c r="X44" s="30" t="str">
        <f ca="1">IF(COUNTIF(planning_general!O$4:O$104,$D44),INDIRECT("'planning_general'!AS"&amp;MATCH($D44,planning_general!O$4:O$104,0)+4-1),"")</f>
        <v/>
      </c>
      <c r="Y44" s="30" t="str">
        <f ca="1">IF(COUNTIF(planning_general!P$4:P$104,$D44),INDIRECT("'planning_general'!AT"&amp;MATCH($D44,planning_general!P$4:P$104,0)+4-1),"")</f>
        <v/>
      </c>
      <c r="Z44" s="30" t="str">
        <f ca="1">IF(COUNTIF(planning_general!Q$4:Q$104,$D44),INDIRECT("'planning_general'!AU"&amp;MATCH($D44,planning_general!Q$4:Q$104,0)+4-1),"")</f>
        <v/>
      </c>
      <c r="AA44" s="30" t="str">
        <f ca="1">IF(COUNTIF(planning_general!R$4:R$104,$D44),INDIRECT("'planning_general'!AV"&amp;MATCH($D44,planning_general!R$4:R$104,0)+4-1),"")</f>
        <v/>
      </c>
      <c r="AB44" s="30" t="str">
        <f ca="1">IF(COUNTIF(planning_general!S$4:S$104,$D44),INDIRECT("'planning_general'!AW"&amp;MATCH($D44,planning_general!S$4:S$104,0)+4-1),"")</f>
        <v/>
      </c>
      <c r="AC44" s="30" t="str">
        <f ca="1">IF(COUNTIF(planning_general!T$4:T$104,$D44),INDIRECT("'planning_general'!AX"&amp;MATCH($D44,planning_general!T$4:T$104,0)+4-1),"")</f>
        <v/>
      </c>
      <c r="AD44" s="30" t="str">
        <f ca="1">IF(COUNTIF(planning_general!U$4:U$104,$D44),INDIRECT("'planning_general'!AY"&amp;MATCH($D44,planning_general!U$4:U$104,0)+4-1),"")</f>
        <v/>
      </c>
      <c r="AE44" s="30" t="str">
        <f ca="1">IF(COUNTIF(planning_general!V$4:V$104,$D44),INDIRECT("'planning_general'!AZ"&amp;MATCH($D44,planning_general!V$4:V$104,0)+4-1),"")</f>
        <v/>
      </c>
      <c r="AF44" s="30" t="str">
        <f ca="1">IF(COUNTIF(planning_general!W$4:W$104,$D44),INDIRECT("'planning_general'!BA"&amp;MATCH($D44,planning_general!W$4:W$104,0)+4-1),"")</f>
        <v/>
      </c>
      <c r="AG44" s="30" t="str">
        <f ca="1">IF(COUNTIF(planning_general!X$4:X$104,$D44),INDIRECT("'planning_general'!BB"&amp;MATCH($D44,planning_general!X$4:X$104,0)+4-1),"")</f>
        <v/>
      </c>
      <c r="AH44" s="30" t="str">
        <f ca="1">IF(COUNTIF(planning_general!Y$4:Y$104,$D44),INDIRECT("'planning_general'!BC"&amp;MATCH($D44,planning_general!Y$4:Y$104,0)+4-1),"")</f>
        <v/>
      </c>
      <c r="AI44" s="30" t="str">
        <f ca="1">IF(COUNTIF(planning_general!Z$4:Z$104,$D44),INDIRECT("'planning_general'!BD"&amp;MATCH($D44,planning_general!Z$4:Z$104,0)+4-1),"")</f>
        <v/>
      </c>
      <c r="AJ44" s="30" t="str">
        <f ca="1">IF(COUNTIF(planning_general!AA$4:AA$104,$D44),INDIRECT("'planning_general'!BE"&amp;MATCH($D44,planning_general!AA$4:AA$104,0)+4-1),"")</f>
        <v/>
      </c>
      <c r="AK44" s="30" t="str">
        <f ca="1">IF(COUNTIF(planning_general!AB$4:AB$104,$D44),INDIRECT("'planning_general'!BF"&amp;MATCH($D44,planning_general!AB$4:AB$104,0)+4-1),"")</f>
        <v/>
      </c>
      <c r="AL44" s="30" t="str">
        <f ca="1">IF(COUNTIF(planning_general!AC$4:AC$104,$D44),INDIRECT("'planning_general'!BG"&amp;MATCH($D44,planning_general!AC$4:AC$104,0)+4-1),"")</f>
        <v/>
      </c>
      <c r="AM44" s="30" t="str">
        <f ca="1">IF(COUNTIF(planning_general!AD$4:AD$104,$D44),INDIRECT("'planning_general'!BH"&amp;MATCH($D44,planning_general!AD$4:AD$104,0)+4-1),"")</f>
        <v/>
      </c>
      <c r="AN44" s="30" t="str">
        <f ca="1">IF(COUNTIF(planning_general!AE$4:AE$104,$D44),INDIRECT("'planning_general'!BI"&amp;MATCH($D44,planning_general!AE$4:AE$104,0)+4-1),"")</f>
        <v/>
      </c>
    </row>
    <row r="45" spans="1:40" ht="34.950000000000003" customHeight="1" x14ac:dyDescent="0.35">
      <c r="A45" s="35">
        <f>beneficiaires!$A44</f>
        <v>43</v>
      </c>
      <c r="B45" s="28" t="str">
        <f>beneficiaires!B44</f>
        <v>zz</v>
      </c>
      <c r="C45" s="28">
        <f>beneficiaires!C44</f>
        <v>0</v>
      </c>
      <c r="D45" s="29" t="str">
        <f>beneficiaires!D44</f>
        <v>_zz</v>
      </c>
      <c r="E45" s="29" t="str">
        <f>beneficiaires!E44</f>
        <v>zz_</v>
      </c>
      <c r="F45" s="26" t="str">
        <f t="shared" si="1"/>
        <v/>
      </c>
      <c r="G45" s="26" t="str">
        <f t="shared" si="1"/>
        <v/>
      </c>
      <c r="H45" s="26" t="str">
        <f t="shared" si="1"/>
        <v/>
      </c>
      <c r="I45" s="26" t="str">
        <f t="shared" si="1"/>
        <v/>
      </c>
      <c r="J45" s="26" t="str">
        <f t="shared" si="1"/>
        <v/>
      </c>
      <c r="K45" s="26" t="str">
        <f t="shared" si="1"/>
        <v/>
      </c>
      <c r="L45" s="26">
        <f>beneficiaires!J44</f>
        <v>0</v>
      </c>
      <c r="M45" s="30" t="str">
        <f ca="1">IF(COUNTIF(planning_general!D$4:D$104,$D45),INDIRECT("'planning_general'!AH"&amp;MATCH($D45,planning_general!D$4:D$104,0)+4-1),"")</f>
        <v/>
      </c>
      <c r="N45" s="30" t="str">
        <f ca="1">IF(COUNTIF(planning_general!E$4:E$104,$D45),INDIRECT("'planning_general'!AI"&amp;MATCH($D45,planning_general!E$4:E$104,0)+4-1),"")</f>
        <v/>
      </c>
      <c r="O45" s="30" t="str">
        <f ca="1">IF(COUNTIF(planning_general!F$4:F$104,$D45),INDIRECT("'planning_general'!AJ"&amp;MATCH($D45,planning_general!F$4:F$104,0)+4-1),"")</f>
        <v/>
      </c>
      <c r="P45" s="30" t="str">
        <f ca="1">IF(COUNTIF(planning_general!G$4:G$104,$D45),INDIRECT("'planning_general'!AK"&amp;MATCH($D45,planning_general!G$4:G$104,0)+4-1),"")</f>
        <v/>
      </c>
      <c r="Q45" s="30" t="str">
        <f ca="1">IF(COUNTIF(planning_general!H$4:H$104,$D45),INDIRECT("'planning_general'!AL"&amp;MATCH($D45,planning_general!H$4:H$104,0)+4-1),"")</f>
        <v/>
      </c>
      <c r="R45" s="30" t="str">
        <f ca="1">IF(COUNTIF(planning_general!I$4:I$104,$D45),INDIRECT("'planning_general'!AM"&amp;MATCH($D45,planning_general!I$4:I$104,0)+4-1),"")</f>
        <v/>
      </c>
      <c r="S45" s="30" t="str">
        <f ca="1">IF(COUNTIF(planning_general!J$4:J$104,$D45),INDIRECT("'planning_general'!AN"&amp;MATCH($D45,planning_general!J$4:J$104,0)+4-1),"")</f>
        <v/>
      </c>
      <c r="T45" s="30" t="str">
        <f ca="1">IF(COUNTIF(planning_general!K$4:K$104,$D45),INDIRECT("'planning_general'!AO"&amp;MATCH($D45,planning_general!K$4:K$104,0)+4-1),"")</f>
        <v/>
      </c>
      <c r="U45" s="30" t="str">
        <f ca="1">IF(COUNTIF(planning_general!L$4:L$104,$D45),INDIRECT("'planning_general'!AP"&amp;MATCH($D45,planning_general!L$4:L$104,0)+4-1),"")</f>
        <v/>
      </c>
      <c r="V45" s="30" t="str">
        <f ca="1">IF(COUNTIF(planning_general!M$4:M$104,$D45),INDIRECT("'planning_general'!AQ"&amp;MATCH($D45,planning_general!M$4:M$104,0)+4-1),"")</f>
        <v/>
      </c>
      <c r="W45" s="30" t="str">
        <f ca="1">IF(COUNTIF(planning_general!N$4:N$104,$D45),INDIRECT("'planning_general'!AR"&amp;MATCH($D45,planning_general!N$4:N$104,0)+4-1),"")</f>
        <v/>
      </c>
      <c r="X45" s="30" t="str">
        <f ca="1">IF(COUNTIF(planning_general!O$4:O$104,$D45),INDIRECT("'planning_general'!AS"&amp;MATCH($D45,planning_general!O$4:O$104,0)+4-1),"")</f>
        <v/>
      </c>
      <c r="Y45" s="30" t="str">
        <f ca="1">IF(COUNTIF(planning_general!P$4:P$104,$D45),INDIRECT("'planning_general'!AT"&amp;MATCH($D45,planning_general!P$4:P$104,0)+4-1),"")</f>
        <v/>
      </c>
      <c r="Z45" s="30" t="str">
        <f ca="1">IF(COUNTIF(planning_general!Q$4:Q$104,$D45),INDIRECT("'planning_general'!AU"&amp;MATCH($D45,planning_general!Q$4:Q$104,0)+4-1),"")</f>
        <v/>
      </c>
      <c r="AA45" s="30" t="str">
        <f ca="1">IF(COUNTIF(planning_general!R$4:R$104,$D45),INDIRECT("'planning_general'!AV"&amp;MATCH($D45,planning_general!R$4:R$104,0)+4-1),"")</f>
        <v/>
      </c>
      <c r="AB45" s="30" t="str">
        <f ca="1">IF(COUNTIF(planning_general!S$4:S$104,$D45),INDIRECT("'planning_general'!AW"&amp;MATCH($D45,planning_general!S$4:S$104,0)+4-1),"")</f>
        <v/>
      </c>
      <c r="AC45" s="30" t="str">
        <f ca="1">IF(COUNTIF(planning_general!T$4:T$104,$D45),INDIRECT("'planning_general'!AX"&amp;MATCH($D45,planning_general!T$4:T$104,0)+4-1),"")</f>
        <v/>
      </c>
      <c r="AD45" s="30" t="str">
        <f ca="1">IF(COUNTIF(planning_general!U$4:U$104,$D45),INDIRECT("'planning_general'!AY"&amp;MATCH($D45,planning_general!U$4:U$104,0)+4-1),"")</f>
        <v/>
      </c>
      <c r="AE45" s="30" t="str">
        <f ca="1">IF(COUNTIF(planning_general!V$4:V$104,$D45),INDIRECT("'planning_general'!AZ"&amp;MATCH($D45,planning_general!V$4:V$104,0)+4-1),"")</f>
        <v/>
      </c>
      <c r="AF45" s="30" t="str">
        <f ca="1">IF(COUNTIF(planning_general!W$4:W$104,$D45),INDIRECT("'planning_general'!BA"&amp;MATCH($D45,planning_general!W$4:W$104,0)+4-1),"")</f>
        <v/>
      </c>
      <c r="AG45" s="30" t="str">
        <f ca="1">IF(COUNTIF(planning_general!X$4:X$104,$D45),INDIRECT("'planning_general'!BB"&amp;MATCH($D45,planning_general!X$4:X$104,0)+4-1),"")</f>
        <v/>
      </c>
      <c r="AH45" s="30" t="str">
        <f ca="1">IF(COUNTIF(planning_general!Y$4:Y$104,$D45),INDIRECT("'planning_general'!BC"&amp;MATCH($D45,planning_general!Y$4:Y$104,0)+4-1),"")</f>
        <v/>
      </c>
      <c r="AI45" s="30" t="str">
        <f ca="1">IF(COUNTIF(planning_general!Z$4:Z$104,$D45),INDIRECT("'planning_general'!BD"&amp;MATCH($D45,planning_general!Z$4:Z$104,0)+4-1),"")</f>
        <v/>
      </c>
      <c r="AJ45" s="30" t="str">
        <f ca="1">IF(COUNTIF(planning_general!AA$4:AA$104,$D45),INDIRECT("'planning_general'!BE"&amp;MATCH($D45,planning_general!AA$4:AA$104,0)+4-1),"")</f>
        <v/>
      </c>
      <c r="AK45" s="30" t="str">
        <f ca="1">IF(COUNTIF(planning_general!AB$4:AB$104,$D45),INDIRECT("'planning_general'!BF"&amp;MATCH($D45,planning_general!AB$4:AB$104,0)+4-1),"")</f>
        <v/>
      </c>
      <c r="AL45" s="30" t="str">
        <f ca="1">IF(COUNTIF(planning_general!AC$4:AC$104,$D45),INDIRECT("'planning_general'!BG"&amp;MATCH($D45,planning_general!AC$4:AC$104,0)+4-1),"")</f>
        <v/>
      </c>
      <c r="AM45" s="30" t="str">
        <f ca="1">IF(COUNTIF(planning_general!AD$4:AD$104,$D45),INDIRECT("'planning_general'!BH"&amp;MATCH($D45,planning_general!AD$4:AD$104,0)+4-1),"")</f>
        <v/>
      </c>
      <c r="AN45" s="30" t="str">
        <f ca="1">IF(COUNTIF(planning_general!AE$4:AE$104,$D45),INDIRECT("'planning_general'!BI"&amp;MATCH($D45,planning_general!AE$4:AE$104,0)+4-1),"")</f>
        <v/>
      </c>
    </row>
    <row r="46" spans="1:40" ht="34.950000000000003" customHeight="1" x14ac:dyDescent="0.35">
      <c r="A46" s="35">
        <f>beneficiaires!$A45</f>
        <v>44</v>
      </c>
      <c r="B46" s="28" t="str">
        <f>beneficiaires!B45</f>
        <v>zz</v>
      </c>
      <c r="C46" s="28">
        <f>beneficiaires!C45</f>
        <v>0</v>
      </c>
      <c r="D46" s="29" t="str">
        <f>beneficiaires!D45</f>
        <v>_zz</v>
      </c>
      <c r="E46" s="29" t="str">
        <f>beneficiaires!E45</f>
        <v>zz_</v>
      </c>
      <c r="F46" s="26" t="str">
        <f t="shared" si="1"/>
        <v/>
      </c>
      <c r="G46" s="26" t="str">
        <f t="shared" si="1"/>
        <v/>
      </c>
      <c r="H46" s="26" t="str">
        <f t="shared" si="1"/>
        <v/>
      </c>
      <c r="I46" s="26" t="str">
        <f t="shared" si="1"/>
        <v/>
      </c>
      <c r="J46" s="26" t="str">
        <f t="shared" si="1"/>
        <v/>
      </c>
      <c r="K46" s="26" t="str">
        <f t="shared" si="1"/>
        <v/>
      </c>
      <c r="L46" s="26">
        <f>beneficiaires!J45</f>
        <v>0</v>
      </c>
      <c r="M46" s="30" t="str">
        <f ca="1">IF(COUNTIF(planning_general!D$4:D$104,$D46),INDIRECT("'planning_general'!AH"&amp;MATCH($D46,planning_general!D$4:D$104,0)+4-1),"")</f>
        <v/>
      </c>
      <c r="N46" s="30" t="str">
        <f ca="1">IF(COUNTIF(planning_general!E$4:E$104,$D46),INDIRECT("'planning_general'!AI"&amp;MATCH($D46,planning_general!E$4:E$104,0)+4-1),"")</f>
        <v/>
      </c>
      <c r="O46" s="30" t="str">
        <f ca="1">IF(COUNTIF(planning_general!F$4:F$104,$D46),INDIRECT("'planning_general'!AJ"&amp;MATCH($D46,planning_general!F$4:F$104,0)+4-1),"")</f>
        <v/>
      </c>
      <c r="P46" s="30" t="str">
        <f ca="1">IF(COUNTIF(planning_general!G$4:G$104,$D46),INDIRECT("'planning_general'!AK"&amp;MATCH($D46,planning_general!G$4:G$104,0)+4-1),"")</f>
        <v/>
      </c>
      <c r="Q46" s="30" t="str">
        <f ca="1">IF(COUNTIF(planning_general!H$4:H$104,$D46),INDIRECT("'planning_general'!AL"&amp;MATCH($D46,planning_general!H$4:H$104,0)+4-1),"")</f>
        <v/>
      </c>
      <c r="R46" s="30" t="str">
        <f ca="1">IF(COUNTIF(planning_general!I$4:I$104,$D46),INDIRECT("'planning_general'!AM"&amp;MATCH($D46,planning_general!I$4:I$104,0)+4-1),"")</f>
        <v/>
      </c>
      <c r="S46" s="30" t="str">
        <f ca="1">IF(COUNTIF(planning_general!J$4:J$104,$D46),INDIRECT("'planning_general'!AN"&amp;MATCH($D46,planning_general!J$4:J$104,0)+4-1),"")</f>
        <v/>
      </c>
      <c r="T46" s="30" t="str">
        <f ca="1">IF(COUNTIF(planning_general!K$4:K$104,$D46),INDIRECT("'planning_general'!AO"&amp;MATCH($D46,planning_general!K$4:K$104,0)+4-1),"")</f>
        <v/>
      </c>
      <c r="U46" s="30" t="str">
        <f ca="1">IF(COUNTIF(planning_general!L$4:L$104,$D46),INDIRECT("'planning_general'!AP"&amp;MATCH($D46,planning_general!L$4:L$104,0)+4-1),"")</f>
        <v/>
      </c>
      <c r="V46" s="30" t="str">
        <f ca="1">IF(COUNTIF(planning_general!M$4:M$104,$D46),INDIRECT("'planning_general'!AQ"&amp;MATCH($D46,planning_general!M$4:M$104,0)+4-1),"")</f>
        <v/>
      </c>
      <c r="W46" s="30" t="str">
        <f ca="1">IF(COUNTIF(planning_general!N$4:N$104,$D46),INDIRECT("'planning_general'!AR"&amp;MATCH($D46,planning_general!N$4:N$104,0)+4-1),"")</f>
        <v/>
      </c>
      <c r="X46" s="30" t="str">
        <f ca="1">IF(COUNTIF(planning_general!O$4:O$104,$D46),INDIRECT("'planning_general'!AS"&amp;MATCH($D46,planning_general!O$4:O$104,0)+4-1),"")</f>
        <v/>
      </c>
      <c r="Y46" s="30" t="str">
        <f ca="1">IF(COUNTIF(planning_general!P$4:P$104,$D46),INDIRECT("'planning_general'!AT"&amp;MATCH($D46,planning_general!P$4:P$104,0)+4-1),"")</f>
        <v/>
      </c>
      <c r="Z46" s="30" t="str">
        <f ca="1">IF(COUNTIF(planning_general!Q$4:Q$104,$D46),INDIRECT("'planning_general'!AU"&amp;MATCH($D46,planning_general!Q$4:Q$104,0)+4-1),"")</f>
        <v/>
      </c>
      <c r="AA46" s="30" t="str">
        <f ca="1">IF(COUNTIF(planning_general!R$4:R$104,$D46),INDIRECT("'planning_general'!AV"&amp;MATCH($D46,planning_general!R$4:R$104,0)+4-1),"")</f>
        <v/>
      </c>
      <c r="AB46" s="30" t="str">
        <f ca="1">IF(COUNTIF(planning_general!S$4:S$104,$D46),INDIRECT("'planning_general'!AW"&amp;MATCH($D46,planning_general!S$4:S$104,0)+4-1),"")</f>
        <v/>
      </c>
      <c r="AC46" s="30" t="str">
        <f ca="1">IF(COUNTIF(planning_general!T$4:T$104,$D46),INDIRECT("'planning_general'!AX"&amp;MATCH($D46,planning_general!T$4:T$104,0)+4-1),"")</f>
        <v/>
      </c>
      <c r="AD46" s="30" t="str">
        <f ca="1">IF(COUNTIF(planning_general!U$4:U$104,$D46),INDIRECT("'planning_general'!AY"&amp;MATCH($D46,planning_general!U$4:U$104,0)+4-1),"")</f>
        <v/>
      </c>
      <c r="AE46" s="30" t="str">
        <f ca="1">IF(COUNTIF(planning_general!V$4:V$104,$D46),INDIRECT("'planning_general'!AZ"&amp;MATCH($D46,planning_general!V$4:V$104,0)+4-1),"")</f>
        <v/>
      </c>
      <c r="AF46" s="30" t="str">
        <f ca="1">IF(COUNTIF(planning_general!W$4:W$104,$D46),INDIRECT("'planning_general'!BA"&amp;MATCH($D46,planning_general!W$4:W$104,0)+4-1),"")</f>
        <v/>
      </c>
      <c r="AG46" s="30" t="str">
        <f ca="1">IF(COUNTIF(planning_general!X$4:X$104,$D46),INDIRECT("'planning_general'!BB"&amp;MATCH($D46,planning_general!X$4:X$104,0)+4-1),"")</f>
        <v/>
      </c>
      <c r="AH46" s="30" t="str">
        <f ca="1">IF(COUNTIF(planning_general!Y$4:Y$104,$D46),INDIRECT("'planning_general'!BC"&amp;MATCH($D46,planning_general!Y$4:Y$104,0)+4-1),"")</f>
        <v/>
      </c>
      <c r="AI46" s="30" t="str">
        <f ca="1">IF(COUNTIF(planning_general!Z$4:Z$104,$D46),INDIRECT("'planning_general'!BD"&amp;MATCH($D46,planning_general!Z$4:Z$104,0)+4-1),"")</f>
        <v/>
      </c>
      <c r="AJ46" s="30" t="str">
        <f ca="1">IF(COUNTIF(planning_general!AA$4:AA$104,$D46),INDIRECT("'planning_general'!BE"&amp;MATCH($D46,planning_general!AA$4:AA$104,0)+4-1),"")</f>
        <v/>
      </c>
      <c r="AK46" s="30" t="str">
        <f ca="1">IF(COUNTIF(planning_general!AB$4:AB$104,$D46),INDIRECT("'planning_general'!BF"&amp;MATCH($D46,planning_general!AB$4:AB$104,0)+4-1),"")</f>
        <v/>
      </c>
      <c r="AL46" s="30" t="str">
        <f ca="1">IF(COUNTIF(planning_general!AC$4:AC$104,$D46),INDIRECT("'planning_general'!BG"&amp;MATCH($D46,planning_general!AC$4:AC$104,0)+4-1),"")</f>
        <v/>
      </c>
      <c r="AM46" s="30" t="str">
        <f ca="1">IF(COUNTIF(planning_general!AD$4:AD$104,$D46),INDIRECT("'planning_general'!BH"&amp;MATCH($D46,planning_general!AD$4:AD$104,0)+4-1),"")</f>
        <v/>
      </c>
      <c r="AN46" s="30" t="str">
        <f ca="1">IF(COUNTIF(planning_general!AE$4:AE$104,$D46),INDIRECT("'planning_general'!BI"&amp;MATCH($D46,planning_general!AE$4:AE$104,0)+4-1),"")</f>
        <v/>
      </c>
    </row>
    <row r="47" spans="1:40" ht="34.950000000000003" customHeight="1" x14ac:dyDescent="0.35">
      <c r="A47" s="35">
        <f>beneficiaires!$A46</f>
        <v>45</v>
      </c>
      <c r="B47" s="28" t="str">
        <f>beneficiaires!B46</f>
        <v>zz</v>
      </c>
      <c r="C47" s="28">
        <f>beneficiaires!C46</f>
        <v>0</v>
      </c>
      <c r="D47" s="29" t="str">
        <f>beneficiaires!D46</f>
        <v>_zz</v>
      </c>
      <c r="E47" s="29" t="str">
        <f>beneficiaires!E46</f>
        <v>zz_</v>
      </c>
      <c r="F47" s="26" t="str">
        <f t="shared" si="1"/>
        <v/>
      </c>
      <c r="G47" s="26" t="str">
        <f t="shared" si="1"/>
        <v/>
      </c>
      <c r="H47" s="26" t="str">
        <f t="shared" si="1"/>
        <v/>
      </c>
      <c r="I47" s="26" t="str">
        <f t="shared" si="1"/>
        <v/>
      </c>
      <c r="J47" s="26" t="str">
        <f t="shared" si="1"/>
        <v/>
      </c>
      <c r="K47" s="26" t="str">
        <f t="shared" si="1"/>
        <v/>
      </c>
      <c r="L47" s="26">
        <f>beneficiaires!J46</f>
        <v>0</v>
      </c>
      <c r="M47" s="30" t="str">
        <f ca="1">IF(COUNTIF(planning_general!D$4:D$104,$D47),INDIRECT("'planning_general'!AH"&amp;MATCH($D47,planning_general!D$4:D$104,0)+4-1),"")</f>
        <v/>
      </c>
      <c r="N47" s="30" t="str">
        <f ca="1">IF(COUNTIF(planning_general!E$4:E$104,$D47),INDIRECT("'planning_general'!AI"&amp;MATCH($D47,planning_general!E$4:E$104,0)+4-1),"")</f>
        <v/>
      </c>
      <c r="O47" s="30" t="str">
        <f ca="1">IF(COUNTIF(planning_general!F$4:F$104,$D47),INDIRECT("'planning_general'!AJ"&amp;MATCH($D47,planning_general!F$4:F$104,0)+4-1),"")</f>
        <v/>
      </c>
      <c r="P47" s="30" t="str">
        <f ca="1">IF(COUNTIF(planning_general!G$4:G$104,$D47),INDIRECT("'planning_general'!AK"&amp;MATCH($D47,planning_general!G$4:G$104,0)+4-1),"")</f>
        <v/>
      </c>
      <c r="Q47" s="30" t="str">
        <f ca="1">IF(COUNTIF(planning_general!H$4:H$104,$D47),INDIRECT("'planning_general'!AL"&amp;MATCH($D47,planning_general!H$4:H$104,0)+4-1),"")</f>
        <v/>
      </c>
      <c r="R47" s="30" t="str">
        <f ca="1">IF(COUNTIF(planning_general!I$4:I$104,$D47),INDIRECT("'planning_general'!AM"&amp;MATCH($D47,planning_general!I$4:I$104,0)+4-1),"")</f>
        <v/>
      </c>
      <c r="S47" s="30" t="str">
        <f ca="1">IF(COUNTIF(planning_general!J$4:J$104,$D47),INDIRECT("'planning_general'!AN"&amp;MATCH($D47,planning_general!J$4:J$104,0)+4-1),"")</f>
        <v/>
      </c>
      <c r="T47" s="30" t="str">
        <f ca="1">IF(COUNTIF(planning_general!K$4:K$104,$D47),INDIRECT("'planning_general'!AO"&amp;MATCH($D47,planning_general!K$4:K$104,0)+4-1),"")</f>
        <v/>
      </c>
      <c r="U47" s="30" t="str">
        <f ca="1">IF(COUNTIF(planning_general!L$4:L$104,$D47),INDIRECT("'planning_general'!AP"&amp;MATCH($D47,planning_general!L$4:L$104,0)+4-1),"")</f>
        <v/>
      </c>
      <c r="V47" s="30" t="str">
        <f ca="1">IF(COUNTIF(planning_general!M$4:M$104,$D47),INDIRECT("'planning_general'!AQ"&amp;MATCH($D47,planning_general!M$4:M$104,0)+4-1),"")</f>
        <v/>
      </c>
      <c r="W47" s="30" t="str">
        <f ca="1">IF(COUNTIF(planning_general!N$4:N$104,$D47),INDIRECT("'planning_general'!AR"&amp;MATCH($D47,planning_general!N$4:N$104,0)+4-1),"")</f>
        <v/>
      </c>
      <c r="X47" s="30" t="str">
        <f ca="1">IF(COUNTIF(planning_general!O$4:O$104,$D47),INDIRECT("'planning_general'!AS"&amp;MATCH($D47,planning_general!O$4:O$104,0)+4-1),"")</f>
        <v/>
      </c>
      <c r="Y47" s="30" t="str">
        <f ca="1">IF(COUNTIF(planning_general!P$4:P$104,$D47),INDIRECT("'planning_general'!AT"&amp;MATCH($D47,planning_general!P$4:P$104,0)+4-1),"")</f>
        <v/>
      </c>
      <c r="Z47" s="30" t="str">
        <f ca="1">IF(COUNTIF(planning_general!Q$4:Q$104,$D47),INDIRECT("'planning_general'!AU"&amp;MATCH($D47,planning_general!Q$4:Q$104,0)+4-1),"")</f>
        <v/>
      </c>
      <c r="AA47" s="30" t="str">
        <f ca="1">IF(COUNTIF(planning_general!R$4:R$104,$D47),INDIRECT("'planning_general'!AV"&amp;MATCH($D47,planning_general!R$4:R$104,0)+4-1),"")</f>
        <v/>
      </c>
      <c r="AB47" s="30" t="str">
        <f ca="1">IF(COUNTIF(planning_general!S$4:S$104,$D47),INDIRECT("'planning_general'!AW"&amp;MATCH($D47,planning_general!S$4:S$104,0)+4-1),"")</f>
        <v/>
      </c>
      <c r="AC47" s="30" t="str">
        <f ca="1">IF(COUNTIF(planning_general!T$4:T$104,$D47),INDIRECT("'planning_general'!AX"&amp;MATCH($D47,planning_general!T$4:T$104,0)+4-1),"")</f>
        <v/>
      </c>
      <c r="AD47" s="30" t="str">
        <f ca="1">IF(COUNTIF(planning_general!U$4:U$104,$D47),INDIRECT("'planning_general'!AY"&amp;MATCH($D47,planning_general!U$4:U$104,0)+4-1),"")</f>
        <v/>
      </c>
      <c r="AE47" s="30" t="str">
        <f ca="1">IF(COUNTIF(planning_general!V$4:V$104,$D47),INDIRECT("'planning_general'!AZ"&amp;MATCH($D47,planning_general!V$4:V$104,0)+4-1),"")</f>
        <v/>
      </c>
      <c r="AF47" s="30" t="str">
        <f ca="1">IF(COUNTIF(planning_general!W$4:W$104,$D47),INDIRECT("'planning_general'!BA"&amp;MATCH($D47,planning_general!W$4:W$104,0)+4-1),"")</f>
        <v/>
      </c>
      <c r="AG47" s="30" t="str">
        <f ca="1">IF(COUNTIF(planning_general!X$4:X$104,$D47),INDIRECT("'planning_general'!BB"&amp;MATCH($D47,planning_general!X$4:X$104,0)+4-1),"")</f>
        <v/>
      </c>
      <c r="AH47" s="30" t="str">
        <f ca="1">IF(COUNTIF(planning_general!Y$4:Y$104,$D47),INDIRECT("'planning_general'!BC"&amp;MATCH($D47,planning_general!Y$4:Y$104,0)+4-1),"")</f>
        <v/>
      </c>
      <c r="AI47" s="30" t="str">
        <f ca="1">IF(COUNTIF(planning_general!Z$4:Z$104,$D47),INDIRECT("'planning_general'!BD"&amp;MATCH($D47,planning_general!Z$4:Z$104,0)+4-1),"")</f>
        <v/>
      </c>
      <c r="AJ47" s="30" t="str">
        <f ca="1">IF(COUNTIF(planning_general!AA$4:AA$104,$D47),INDIRECT("'planning_general'!BE"&amp;MATCH($D47,planning_general!AA$4:AA$104,0)+4-1),"")</f>
        <v/>
      </c>
      <c r="AK47" s="30" t="str">
        <f ca="1">IF(COUNTIF(planning_general!AB$4:AB$104,$D47),INDIRECT("'planning_general'!BF"&amp;MATCH($D47,planning_general!AB$4:AB$104,0)+4-1),"")</f>
        <v/>
      </c>
      <c r="AL47" s="30" t="str">
        <f ca="1">IF(COUNTIF(planning_general!AC$4:AC$104,$D47),INDIRECT("'planning_general'!BG"&amp;MATCH($D47,planning_general!AC$4:AC$104,0)+4-1),"")</f>
        <v/>
      </c>
      <c r="AM47" s="30" t="str">
        <f ca="1">IF(COUNTIF(planning_general!AD$4:AD$104,$D47),INDIRECT("'planning_general'!BH"&amp;MATCH($D47,planning_general!AD$4:AD$104,0)+4-1),"")</f>
        <v/>
      </c>
      <c r="AN47" s="30" t="str">
        <f ca="1">IF(COUNTIF(planning_general!AE$4:AE$104,$D47),INDIRECT("'planning_general'!BI"&amp;MATCH($D47,planning_general!AE$4:AE$104,0)+4-1),"")</f>
        <v/>
      </c>
    </row>
    <row r="49" spans="13:40" x14ac:dyDescent="0.35">
      <c r="M49" s="34">
        <f t="shared" ref="M49:P49" ca="1" si="2">COUNTIF(M3:M47,"*")-COUNTIF(M3:M47,"")</f>
        <v>21</v>
      </c>
      <c r="N49" s="34">
        <f t="shared" ref="N49:O49" ca="1" si="3">COUNTIF(N3:N47,"*")-COUNTIF(N3:N47,"")</f>
        <v>0</v>
      </c>
      <c r="O49" s="34">
        <f t="shared" ca="1" si="3"/>
        <v>13</v>
      </c>
      <c r="P49" s="34">
        <f t="shared" ca="1" si="2"/>
        <v>0</v>
      </c>
      <c r="Q49" s="34">
        <f t="shared" ref="Q49:T49" ca="1" si="4">COUNTIF(Q3:Q47,"*")-COUNTIF(Q3:Q47,"")</f>
        <v>22</v>
      </c>
      <c r="R49" s="34">
        <f t="shared" ca="1" si="4"/>
        <v>0</v>
      </c>
      <c r="S49" s="34">
        <f t="shared" ca="1" si="4"/>
        <v>20</v>
      </c>
      <c r="T49" s="34">
        <f t="shared" ca="1" si="4"/>
        <v>0</v>
      </c>
      <c r="U49" s="34">
        <f t="shared" ref="U49:X49" ca="1" si="5">COUNTIF(U3:U47,"*")-COUNTIF(U3:U47,"")</f>
        <v>22</v>
      </c>
      <c r="V49" s="34">
        <f t="shared" ca="1" si="5"/>
        <v>0</v>
      </c>
      <c r="W49" s="34">
        <f t="shared" ca="1" si="5"/>
        <v>17</v>
      </c>
      <c r="X49" s="34">
        <f t="shared" ca="1" si="5"/>
        <v>0</v>
      </c>
      <c r="Y49" s="34">
        <f t="shared" ref="Y49:AB49" ca="1" si="6">COUNTIF(Y3:Y47,"*")-COUNTIF(Y3:Y47,"")</f>
        <v>19</v>
      </c>
      <c r="Z49" s="34">
        <f t="shared" ca="1" si="6"/>
        <v>0</v>
      </c>
      <c r="AA49" s="34">
        <f t="shared" ca="1" si="6"/>
        <v>17</v>
      </c>
      <c r="AB49" s="34">
        <f t="shared" ca="1" si="6"/>
        <v>0</v>
      </c>
      <c r="AC49" s="34">
        <f t="shared" ref="AC49:AF49" ca="1" si="7">COUNTIF(AC3:AC47,"*")-COUNTIF(AC3:AC47,"")</f>
        <v>19</v>
      </c>
      <c r="AD49" s="34">
        <f t="shared" ca="1" si="7"/>
        <v>0</v>
      </c>
      <c r="AE49" s="34">
        <f t="shared" ca="1" si="7"/>
        <v>8</v>
      </c>
      <c r="AF49" s="34">
        <f t="shared" ca="1" si="7"/>
        <v>0</v>
      </c>
      <c r="AG49" s="34">
        <f t="shared" ref="AG49:AJ49" ca="1" si="8">COUNTIF(AG3:AG47,"*")-COUNTIF(AG3:AG47,"")</f>
        <v>0</v>
      </c>
      <c r="AH49" s="34">
        <f t="shared" ca="1" si="8"/>
        <v>0</v>
      </c>
      <c r="AI49" s="34">
        <f t="shared" ca="1" si="8"/>
        <v>0</v>
      </c>
      <c r="AJ49" s="34">
        <f t="shared" ca="1" si="8"/>
        <v>0</v>
      </c>
      <c r="AK49" s="34">
        <f t="shared" ref="AK49:AN49" ca="1" si="9">COUNTIF(AK3:AK47,"*")-COUNTIF(AK3:AK47,"")</f>
        <v>0</v>
      </c>
      <c r="AL49" s="34">
        <f t="shared" ca="1" si="9"/>
        <v>0</v>
      </c>
      <c r="AM49" s="34">
        <f t="shared" ca="1" si="9"/>
        <v>0</v>
      </c>
      <c r="AN49" s="34">
        <f t="shared" ca="1" si="9"/>
        <v>0</v>
      </c>
    </row>
  </sheetData>
  <sheetProtection sheet="1" objects="1" scenarios="1" selectLockedCells="1"/>
  <mergeCells count="1">
    <mergeCell ref="F1:L1"/>
  </mergeCells>
  <conditionalFormatting sqref="M3:M47 P3:P47">
    <cfRule type="expression" dxfId="70" priority="106" stopIfTrue="1">
      <formula>COUNTIF(ateliers1,M3)</formula>
    </cfRule>
  </conditionalFormatting>
  <conditionalFormatting sqref="M3:M47 P3:P47">
    <cfRule type="expression" dxfId="69" priority="107" stopIfTrue="1">
      <formula>COUNTIF(ateliers2,M3)</formula>
    </cfRule>
  </conditionalFormatting>
  <conditionalFormatting sqref="M3:M47 P3:P47">
    <cfRule type="expression" dxfId="68" priority="108" stopIfTrue="1">
      <formula>COUNTIF(ateliers3,M3)</formula>
    </cfRule>
  </conditionalFormatting>
  <conditionalFormatting sqref="N3:N47">
    <cfRule type="expression" dxfId="67" priority="103" stopIfTrue="1">
      <formula>COUNTIF(ateliers1,N3)</formula>
    </cfRule>
  </conditionalFormatting>
  <conditionalFormatting sqref="N3:N47">
    <cfRule type="expression" dxfId="66" priority="104" stopIfTrue="1">
      <formula>COUNTIF(ateliers2,N3)</formula>
    </cfRule>
  </conditionalFormatting>
  <conditionalFormatting sqref="N3:N47">
    <cfRule type="expression" dxfId="65" priority="105" stopIfTrue="1">
      <formula>COUNTIF(ateliers3,N3)</formula>
    </cfRule>
  </conditionalFormatting>
  <conditionalFormatting sqref="O3:O47">
    <cfRule type="expression" dxfId="64" priority="73" stopIfTrue="1">
      <formula>COUNTIF(ateliers1,O3)</formula>
    </cfRule>
  </conditionalFormatting>
  <conditionalFormatting sqref="O3:O47">
    <cfRule type="expression" dxfId="63" priority="74" stopIfTrue="1">
      <formula>COUNTIF(ateliers2,O3)</formula>
    </cfRule>
  </conditionalFormatting>
  <conditionalFormatting sqref="O3:O47">
    <cfRule type="expression" dxfId="62" priority="75" stopIfTrue="1">
      <formula>COUNTIF(ateliers3,O3)</formula>
    </cfRule>
  </conditionalFormatting>
  <conditionalFormatting sqref="Q3:Q47 T3:T47">
    <cfRule type="expression" dxfId="61" priority="52" stopIfTrue="1">
      <formula>COUNTIF(ateliers1,Q3)</formula>
    </cfRule>
  </conditionalFormatting>
  <conditionalFormatting sqref="Q3:Q47 T3:T47">
    <cfRule type="expression" dxfId="60" priority="53" stopIfTrue="1">
      <formula>COUNTIF(ateliers2,Q3)</formula>
    </cfRule>
  </conditionalFormatting>
  <conditionalFormatting sqref="Q3:Q47 T3:T47">
    <cfRule type="expression" dxfId="59" priority="54" stopIfTrue="1">
      <formula>COUNTIF(ateliers3,Q3)</formula>
    </cfRule>
  </conditionalFormatting>
  <conditionalFormatting sqref="R3:R47">
    <cfRule type="expression" dxfId="58" priority="49" stopIfTrue="1">
      <formula>COUNTIF(ateliers1,R3)</formula>
    </cfRule>
  </conditionalFormatting>
  <conditionalFormatting sqref="R3:R47">
    <cfRule type="expression" dxfId="57" priority="50" stopIfTrue="1">
      <formula>COUNTIF(ateliers2,R3)</formula>
    </cfRule>
  </conditionalFormatting>
  <conditionalFormatting sqref="R3:R47">
    <cfRule type="expression" dxfId="56" priority="51" stopIfTrue="1">
      <formula>COUNTIF(ateliers3,R3)</formula>
    </cfRule>
  </conditionalFormatting>
  <conditionalFormatting sqref="S3:S47">
    <cfRule type="expression" dxfId="55" priority="46" stopIfTrue="1">
      <formula>COUNTIF(ateliers1,S3)</formula>
    </cfRule>
  </conditionalFormatting>
  <conditionalFormatting sqref="S3:S47">
    <cfRule type="expression" dxfId="54" priority="47" stopIfTrue="1">
      <formula>COUNTIF(ateliers2,S3)</formula>
    </cfRule>
  </conditionalFormatting>
  <conditionalFormatting sqref="S3:S47">
    <cfRule type="expression" dxfId="53" priority="48" stopIfTrue="1">
      <formula>COUNTIF(ateliers3,S3)</formula>
    </cfRule>
  </conditionalFormatting>
  <conditionalFormatting sqref="U3:U47 X3:X47">
    <cfRule type="expression" dxfId="52" priority="43" stopIfTrue="1">
      <formula>COUNTIF(ateliers1,U3)</formula>
    </cfRule>
  </conditionalFormatting>
  <conditionalFormatting sqref="U3:U47 X3:X47">
    <cfRule type="expression" dxfId="51" priority="44" stopIfTrue="1">
      <formula>COUNTIF(ateliers2,U3)</formula>
    </cfRule>
  </conditionalFormatting>
  <conditionalFormatting sqref="U3:U47 X3:X47">
    <cfRule type="expression" dxfId="50" priority="45" stopIfTrue="1">
      <formula>COUNTIF(ateliers3,U3)</formula>
    </cfRule>
  </conditionalFormatting>
  <conditionalFormatting sqref="V3:V47">
    <cfRule type="expression" dxfId="49" priority="40" stopIfTrue="1">
      <formula>COUNTIF(ateliers1,V3)</formula>
    </cfRule>
  </conditionalFormatting>
  <conditionalFormatting sqref="V3:V47">
    <cfRule type="expression" dxfId="48" priority="41" stopIfTrue="1">
      <formula>COUNTIF(ateliers2,V3)</formula>
    </cfRule>
  </conditionalFormatting>
  <conditionalFormatting sqref="V3:V47">
    <cfRule type="expression" dxfId="47" priority="42" stopIfTrue="1">
      <formula>COUNTIF(ateliers3,V3)</formula>
    </cfRule>
  </conditionalFormatting>
  <conditionalFormatting sqref="W3:W47">
    <cfRule type="expression" dxfId="46" priority="37" stopIfTrue="1">
      <formula>COUNTIF(ateliers1,W3)</formula>
    </cfRule>
  </conditionalFormatting>
  <conditionalFormatting sqref="W3:W47">
    <cfRule type="expression" dxfId="45" priority="38" stopIfTrue="1">
      <formula>COUNTIF(ateliers2,W3)</formula>
    </cfRule>
  </conditionalFormatting>
  <conditionalFormatting sqref="W3:W47">
    <cfRule type="expression" dxfId="44" priority="39" stopIfTrue="1">
      <formula>COUNTIF(ateliers3,W3)</formula>
    </cfRule>
  </conditionalFormatting>
  <conditionalFormatting sqref="Y3:Y47 AB3:AB47">
    <cfRule type="expression" dxfId="43" priority="34" stopIfTrue="1">
      <formula>COUNTIF(ateliers1,Y3)</formula>
    </cfRule>
  </conditionalFormatting>
  <conditionalFormatting sqref="Y3:Y47 AB3:AB47">
    <cfRule type="expression" dxfId="42" priority="35" stopIfTrue="1">
      <formula>COUNTIF(ateliers2,Y3)</formula>
    </cfRule>
  </conditionalFormatting>
  <conditionalFormatting sqref="Y3:Y47 AB3:AB47">
    <cfRule type="expression" dxfId="41" priority="36" stopIfTrue="1">
      <formula>COUNTIF(ateliers3,Y3)</formula>
    </cfRule>
  </conditionalFormatting>
  <conditionalFormatting sqref="Z3:Z47">
    <cfRule type="expression" dxfId="40" priority="31" stopIfTrue="1">
      <formula>COUNTIF(ateliers1,Z3)</formula>
    </cfRule>
  </conditionalFormatting>
  <conditionalFormatting sqref="Z3:Z47">
    <cfRule type="expression" dxfId="39" priority="32" stopIfTrue="1">
      <formula>COUNTIF(ateliers2,Z3)</formula>
    </cfRule>
  </conditionalFormatting>
  <conditionalFormatting sqref="Z3:Z47">
    <cfRule type="expression" dxfId="38" priority="33" stopIfTrue="1">
      <formula>COUNTIF(ateliers3,Z3)</formula>
    </cfRule>
  </conditionalFormatting>
  <conditionalFormatting sqref="AA3:AA47">
    <cfRule type="expression" dxfId="37" priority="28" stopIfTrue="1">
      <formula>COUNTIF(ateliers1,AA3)</formula>
    </cfRule>
  </conditionalFormatting>
  <conditionalFormatting sqref="AA3:AA47">
    <cfRule type="expression" dxfId="36" priority="29" stopIfTrue="1">
      <formula>COUNTIF(ateliers2,AA3)</formula>
    </cfRule>
  </conditionalFormatting>
  <conditionalFormatting sqref="AA3:AA47">
    <cfRule type="expression" dxfId="35" priority="30" stopIfTrue="1">
      <formula>COUNTIF(ateliers3,AA3)</formula>
    </cfRule>
  </conditionalFormatting>
  <conditionalFormatting sqref="AC3:AC47 AF3:AF47">
    <cfRule type="expression" dxfId="34" priority="25" stopIfTrue="1">
      <formula>COUNTIF(ateliers1,AC3)</formula>
    </cfRule>
  </conditionalFormatting>
  <conditionalFormatting sqref="AC3:AC47 AF3:AF47">
    <cfRule type="expression" dxfId="33" priority="26" stopIfTrue="1">
      <formula>COUNTIF(ateliers2,AC3)</formula>
    </cfRule>
  </conditionalFormatting>
  <conditionalFormatting sqref="AC3:AC47 AF3:AF47">
    <cfRule type="expression" dxfId="32" priority="27" stopIfTrue="1">
      <formula>COUNTIF(ateliers3,AC3)</formula>
    </cfRule>
  </conditionalFormatting>
  <conditionalFormatting sqref="AD3:AD47">
    <cfRule type="expression" dxfId="31" priority="22" stopIfTrue="1">
      <formula>COUNTIF(ateliers1,AD3)</formula>
    </cfRule>
  </conditionalFormatting>
  <conditionalFormatting sqref="AD3:AD47">
    <cfRule type="expression" dxfId="30" priority="23" stopIfTrue="1">
      <formula>COUNTIF(ateliers2,AD3)</formula>
    </cfRule>
  </conditionalFormatting>
  <conditionalFormatting sqref="AD3:AD47">
    <cfRule type="expression" dxfId="29" priority="24" stopIfTrue="1">
      <formula>COUNTIF(ateliers3,AD3)</formula>
    </cfRule>
  </conditionalFormatting>
  <conditionalFormatting sqref="AE3:AE47">
    <cfRule type="expression" dxfId="28" priority="19" stopIfTrue="1">
      <formula>COUNTIF(ateliers1,AE3)</formula>
    </cfRule>
  </conditionalFormatting>
  <conditionalFormatting sqref="AE3:AE47">
    <cfRule type="expression" dxfId="27" priority="20" stopIfTrue="1">
      <formula>COUNTIF(ateliers2,AE3)</formula>
    </cfRule>
  </conditionalFormatting>
  <conditionalFormatting sqref="AE3:AE47">
    <cfRule type="expression" dxfId="26" priority="21" stopIfTrue="1">
      <formula>COUNTIF(ateliers3,AE3)</formula>
    </cfRule>
  </conditionalFormatting>
  <conditionalFormatting sqref="AG3:AG47 AJ3:AJ47">
    <cfRule type="expression" dxfId="25" priority="16" stopIfTrue="1">
      <formula>COUNTIF(ateliers1,AG3)</formula>
    </cfRule>
  </conditionalFormatting>
  <conditionalFormatting sqref="AG3:AG47 AJ3:AJ47">
    <cfRule type="expression" dxfId="24" priority="17" stopIfTrue="1">
      <formula>COUNTIF(ateliers2,AG3)</formula>
    </cfRule>
  </conditionalFormatting>
  <conditionalFormatting sqref="AG3:AG47 AJ3:AJ47">
    <cfRule type="expression" dxfId="23" priority="18" stopIfTrue="1">
      <formula>COUNTIF(ateliers3,AG3)</formula>
    </cfRule>
  </conditionalFormatting>
  <conditionalFormatting sqref="AH3:AH47">
    <cfRule type="expression" dxfId="22" priority="13" stopIfTrue="1">
      <formula>COUNTIF(ateliers1,AH3)</formula>
    </cfRule>
  </conditionalFormatting>
  <conditionalFormatting sqref="AH3:AH47">
    <cfRule type="expression" dxfId="21" priority="14" stopIfTrue="1">
      <formula>COUNTIF(ateliers2,AH3)</formula>
    </cfRule>
  </conditionalFormatting>
  <conditionalFormatting sqref="AH3:AH47">
    <cfRule type="expression" dxfId="20" priority="15" stopIfTrue="1">
      <formula>COUNTIF(ateliers3,AH3)</formula>
    </cfRule>
  </conditionalFormatting>
  <conditionalFormatting sqref="AI3:AI47">
    <cfRule type="expression" dxfId="19" priority="10" stopIfTrue="1">
      <formula>COUNTIF(ateliers1,AI3)</formula>
    </cfRule>
  </conditionalFormatting>
  <conditionalFormatting sqref="AI3:AI47">
    <cfRule type="expression" dxfId="18" priority="11" stopIfTrue="1">
      <formula>COUNTIF(ateliers2,AI3)</formula>
    </cfRule>
  </conditionalFormatting>
  <conditionalFormatting sqref="AI3:AI47">
    <cfRule type="expression" dxfId="17" priority="12" stopIfTrue="1">
      <formula>COUNTIF(ateliers3,AI3)</formula>
    </cfRule>
  </conditionalFormatting>
  <conditionalFormatting sqref="AK3:AK47 AN3:AN47">
    <cfRule type="expression" dxfId="16" priority="7" stopIfTrue="1">
      <formula>COUNTIF(ateliers1,AK3)</formula>
    </cfRule>
  </conditionalFormatting>
  <conditionalFormatting sqref="AK3:AK47 AN3:AN47">
    <cfRule type="expression" dxfId="15" priority="8" stopIfTrue="1">
      <formula>COUNTIF(ateliers2,AK3)</formula>
    </cfRule>
  </conditionalFormatting>
  <conditionalFormatting sqref="AK3:AK47 AN3:AN47">
    <cfRule type="expression" dxfId="14" priority="9" stopIfTrue="1">
      <formula>COUNTIF(ateliers3,AK3)</formula>
    </cfRule>
  </conditionalFormatting>
  <conditionalFormatting sqref="AL3:AL47">
    <cfRule type="expression" dxfId="13" priority="4" stopIfTrue="1">
      <formula>COUNTIF(ateliers1,AL3)</formula>
    </cfRule>
  </conditionalFormatting>
  <conditionalFormatting sqref="AL3:AL47">
    <cfRule type="expression" dxfId="12" priority="5" stopIfTrue="1">
      <formula>COUNTIF(ateliers2,AL3)</formula>
    </cfRule>
  </conditionalFormatting>
  <conditionalFormatting sqref="AL3:AL47">
    <cfRule type="expression" dxfId="11" priority="6" stopIfTrue="1">
      <formula>COUNTIF(ateliers3,AL3)</formula>
    </cfRule>
  </conditionalFormatting>
  <conditionalFormatting sqref="AM3:AM47">
    <cfRule type="expression" dxfId="10" priority="1" stopIfTrue="1">
      <formula>COUNTIF(ateliers1,AM3)</formula>
    </cfRule>
  </conditionalFormatting>
  <conditionalFormatting sqref="AM3:AM47">
    <cfRule type="expression" dxfId="9" priority="2" stopIfTrue="1">
      <formula>COUNTIF(ateliers2,AM3)</formula>
    </cfRule>
  </conditionalFormatting>
  <conditionalFormatting sqref="AM3:AM47">
    <cfRule type="expression" dxfId="8" priority="3" stopIfTrue="1">
      <formula>COUNTIF(ateliers3,AM3)</formula>
    </cfRule>
  </conditionalFormatting>
  <printOptions horizontalCentered="1" verticalCentered="1"/>
  <pageMargins left="0.51181102362204722" right="0.19685039370078741" top="1.1811023622047245" bottom="0.62992125984251968" header="0.47244094488188981" footer="0.23622047244094491"/>
  <pageSetup paperSize="9" scale="37" orientation="landscape" r:id="rId1"/>
  <headerFooter>
    <oddHeader>&amp;L&amp;G&amp;C&amp;"Trebuchet MS,Gras"&amp;20Planning hebdomadaire par travailleur&amp;R&amp;"Trebuchet MS,Gras"&amp;16Page &amp;P</oddHeader>
    <oddFooter>&amp;LFichier du classeur  : &amp;Z&amp;F&amp;COnglet : &amp;A&amp;RImprimé le &amp;D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P9"/>
  <sheetViews>
    <sheetView view="pageBreakPreview" zoomScale="110" zoomScaleNormal="100" zoomScaleSheetLayoutView="110" zoomScalePageLayoutView="80" workbookViewId="0">
      <selection activeCell="E2" sqref="E2:E8"/>
    </sheetView>
  </sheetViews>
  <sheetFormatPr baseColWidth="10" defaultColWidth="12.44140625" defaultRowHeight="14.4" x14ac:dyDescent="0.35"/>
  <cols>
    <col min="1" max="1" width="41.109375" style="3" customWidth="1"/>
    <col min="2" max="2" width="11.6640625" style="3" customWidth="1"/>
    <col min="3" max="3" width="23.6640625" style="3" customWidth="1"/>
    <col min="4" max="6" width="11.6640625" style="3" customWidth="1"/>
    <col min="7" max="7" width="11.6640625" style="27" customWidth="1"/>
    <col min="8" max="16384" width="12.44140625" style="1"/>
  </cols>
  <sheetData>
    <row r="1" spans="1:16" ht="172.5" customHeight="1" x14ac:dyDescent="0.35">
      <c r="A1" s="59" t="s">
        <v>19</v>
      </c>
      <c r="B1" s="59" t="s">
        <v>40</v>
      </c>
      <c r="C1" s="59" t="s">
        <v>18</v>
      </c>
      <c r="D1" s="59" t="s">
        <v>41</v>
      </c>
      <c r="E1" s="104" t="s">
        <v>51</v>
      </c>
      <c r="F1" s="59" t="s">
        <v>1</v>
      </c>
      <c r="G1" s="60" t="s">
        <v>2</v>
      </c>
    </row>
    <row r="2" spans="1:16" ht="22.5" customHeight="1" x14ac:dyDescent="0.35">
      <c r="A2" s="224" t="str">
        <f>planning_general!$A$4</f>
        <v>Atelier Services et prestations sociales</v>
      </c>
      <c r="B2" s="231">
        <f>SUM(D2:D4)</f>
        <v>420</v>
      </c>
      <c r="C2" s="102" t="str">
        <f>planning_general!$B$4</f>
        <v>Secrétariat-réception</v>
      </c>
      <c r="D2" s="105">
        <f>COUNTA(planning_general!D4:AE13)*10</f>
        <v>220</v>
      </c>
      <c r="E2" s="108">
        <v>150</v>
      </c>
      <c r="F2" s="48">
        <f t="shared" ref="F2:F8" si="0">E2-D2</f>
        <v>-70</v>
      </c>
      <c r="G2" s="49">
        <f t="shared" ref="G2:G8" si="1">F2/100</f>
        <v>-0.7</v>
      </c>
    </row>
    <row r="3" spans="1:16" ht="22.5" customHeight="1" x14ac:dyDescent="0.35">
      <c r="A3" s="225"/>
      <c r="B3" s="232"/>
      <c r="C3" s="101" t="str">
        <f>planning_general!$B$14</f>
        <v>Animation</v>
      </c>
      <c r="D3" s="103">
        <f>COUNTA(planning_general!D14:AE23)*10</f>
        <v>160</v>
      </c>
      <c r="E3" s="108">
        <v>100</v>
      </c>
      <c r="F3" s="109">
        <f t="shared" si="0"/>
        <v>-60</v>
      </c>
      <c r="G3" s="49">
        <f t="shared" si="1"/>
        <v>-0.6</v>
      </c>
    </row>
    <row r="4" spans="1:16" ht="22.5" customHeight="1" x14ac:dyDescent="0.35">
      <c r="A4" s="226"/>
      <c r="B4" s="233"/>
      <c r="C4" s="48" t="str">
        <f>planning_general!$B$24</f>
        <v>REA</v>
      </c>
      <c r="D4" s="105">
        <f>COUNTA(planning_general!D24:AE33)*10</f>
        <v>40</v>
      </c>
      <c r="E4" s="108">
        <v>50</v>
      </c>
      <c r="F4" s="109">
        <f t="shared" si="0"/>
        <v>10</v>
      </c>
      <c r="G4" s="49">
        <f t="shared" si="1"/>
        <v>0.1</v>
      </c>
    </row>
    <row r="5" spans="1:16" ht="22.5" customHeight="1" x14ac:dyDescent="0.35">
      <c r="A5" s="227" t="str">
        <f>planning_general!$A$34</f>
        <v>Atelier Grain de Sel</v>
      </c>
      <c r="B5" s="229">
        <f>SUM(D5:D6)</f>
        <v>580</v>
      </c>
      <c r="C5" s="50" t="str">
        <f>planning_general!$B$34</f>
        <v>Cuisine</v>
      </c>
      <c r="D5" s="51">
        <f>COUNTA(planning_general!D34:AE64)*10</f>
        <v>580</v>
      </c>
      <c r="E5" s="107">
        <v>280</v>
      </c>
      <c r="F5" s="110">
        <f t="shared" si="0"/>
        <v>-300</v>
      </c>
      <c r="G5" s="111">
        <f t="shared" si="1"/>
        <v>-3</v>
      </c>
    </row>
    <row r="6" spans="1:16" ht="22.5" customHeight="1" x14ac:dyDescent="0.35">
      <c r="A6" s="228"/>
      <c r="B6" s="230"/>
      <c r="C6" s="50" t="str">
        <f>planning_general!$B$65</f>
        <v>Cafeteria</v>
      </c>
      <c r="D6" s="51">
        <f>COUNTA(planning_general!D65:AE74)*10</f>
        <v>0</v>
      </c>
      <c r="E6" s="107">
        <v>100</v>
      </c>
      <c r="F6" s="110">
        <f t="shared" si="0"/>
        <v>100</v>
      </c>
      <c r="G6" s="111">
        <f t="shared" si="1"/>
        <v>1</v>
      </c>
    </row>
    <row r="7" spans="1:16" ht="22.5" customHeight="1" x14ac:dyDescent="0.35">
      <c r="A7" s="220" t="str">
        <f>planning_general!$A$75</f>
        <v>Atelier général</v>
      </c>
      <c r="B7" s="222">
        <f>SUM(D7:D8)</f>
        <v>780</v>
      </c>
      <c r="C7" s="52" t="str">
        <f>planning_general!$B$75</f>
        <v>Production</v>
      </c>
      <c r="D7" s="53">
        <f>COUNTA(planning_general!D75:AE94)*10</f>
        <v>750</v>
      </c>
      <c r="E7" s="112">
        <v>650</v>
      </c>
      <c r="F7" s="113">
        <f t="shared" si="0"/>
        <v>-100</v>
      </c>
      <c r="G7" s="114">
        <f t="shared" si="1"/>
        <v>-1</v>
      </c>
    </row>
    <row r="8" spans="1:16" s="2" customFormat="1" ht="22.5" customHeight="1" x14ac:dyDescent="0.35">
      <c r="A8" s="221"/>
      <c r="B8" s="223"/>
      <c r="C8" s="52" t="str">
        <f>planning_general!$B$95</f>
        <v>Entretien</v>
      </c>
      <c r="D8" s="53">
        <f>COUNTA(planning_general!D95:AE104)*10</f>
        <v>30</v>
      </c>
      <c r="E8" s="112">
        <v>30</v>
      </c>
      <c r="F8" s="113">
        <f t="shared" si="0"/>
        <v>0</v>
      </c>
      <c r="G8" s="114">
        <f t="shared" si="1"/>
        <v>0</v>
      </c>
      <c r="H8" s="1"/>
      <c r="I8" s="1"/>
      <c r="J8" s="1"/>
      <c r="K8" s="1"/>
      <c r="L8" s="1"/>
      <c r="M8" s="1"/>
      <c r="N8" s="1"/>
      <c r="O8" s="1"/>
      <c r="P8" s="1"/>
    </row>
    <row r="9" spans="1:16" ht="22.5" customHeight="1" x14ac:dyDescent="0.35">
      <c r="A9" s="55"/>
      <c r="B9" s="56">
        <f>SUM(B2:B8)</f>
        <v>1780</v>
      </c>
      <c r="C9" s="55"/>
      <c r="D9" s="56">
        <f>SUM(D2:D8)</f>
        <v>1780</v>
      </c>
      <c r="E9" s="61">
        <f>SUM(E2:E8)</f>
        <v>1360</v>
      </c>
      <c r="F9" s="57">
        <f>SUM(F2:F8)</f>
        <v>-420</v>
      </c>
      <c r="G9" s="58">
        <f>F9/100</f>
        <v>-4.2</v>
      </c>
    </row>
  </sheetData>
  <sheetProtection sheet="1" objects="1" scenarios="1" selectLockedCells="1"/>
  <mergeCells count="6">
    <mergeCell ref="A7:A8"/>
    <mergeCell ref="B7:B8"/>
    <mergeCell ref="A2:A4"/>
    <mergeCell ref="A5:A6"/>
    <mergeCell ref="B5:B6"/>
    <mergeCell ref="B2:B4"/>
  </mergeCells>
  <conditionalFormatting sqref="I2:I8">
    <cfRule type="expression" dxfId="7" priority="5">
      <formula>IF(I2=#REF!,TRUE,FALSE)</formula>
    </cfRule>
    <cfRule type="expression" dxfId="6" priority="6">
      <formula>IF(I2=#REF!,TRUE,FALSE)</formula>
    </cfRule>
  </conditionalFormatting>
  <conditionalFormatting sqref="I2">
    <cfRule type="expression" dxfId="5" priority="86">
      <formula>IF(I2=#REF!,TRUE,FALSE)</formula>
    </cfRule>
    <cfRule type="expression" dxfId="4" priority="87">
      <formula>IF(I2=#REF!,TRUE,FALSE)</formula>
    </cfRule>
    <cfRule type="expression" dxfId="3" priority="88">
      <formula>IF(I2=#REF!,TRUE,FALSE)</formula>
    </cfRule>
    <cfRule type="expression" dxfId="2" priority="89">
      <formula>IF(I2=#REF!,TRUE,FALSE)</formula>
    </cfRule>
  </conditionalFormatting>
  <printOptions horizontalCentered="1" verticalCentered="1"/>
  <pageMargins left="0.70866141732283472" right="0.70866141732283472" top="1.1811023622047245" bottom="0.62992125984251968" header="0.47244094488188981" footer="0.23622047244094491"/>
  <pageSetup paperSize="9" orientation="landscape" r:id="rId1"/>
  <headerFooter>
    <oddHeader>&amp;L&amp;G&amp;C&amp;"Trebuchet MS,Gras"&amp;14Planning des ateliers , répartition des taux&amp;R&amp;"Trebuchet MS,Gras"&amp;16Page &amp;P</oddHeader>
    <oddFooter>&amp;LFichier du classeur  : &amp;Z&amp;F&amp;COnglet : &amp;A&amp;RImprimé le &amp;D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P46"/>
  <sheetViews>
    <sheetView zoomScale="130" zoomScaleNormal="130" zoomScaleSheetLayoutView="100" workbookViewId="0">
      <pane xSplit="1" ySplit="1" topLeftCell="B2" activePane="bottomRight" state="frozen"/>
      <selection activeCell="C63" sqref="A63:XFD63"/>
      <selection pane="topRight" activeCell="C63" sqref="A63:XFD63"/>
      <selection pane="bottomLeft" activeCell="C63" sqref="A63:XFD63"/>
      <selection pane="bottomRight" activeCell="G46" sqref="G46"/>
    </sheetView>
  </sheetViews>
  <sheetFormatPr baseColWidth="10" defaultColWidth="12.44140625" defaultRowHeight="14.4" x14ac:dyDescent="0.35"/>
  <cols>
    <col min="1" max="1" width="3.6640625" style="4" customWidth="1"/>
    <col min="2" max="2" width="11.88671875" style="4" customWidth="1"/>
    <col min="3" max="3" width="13.109375" style="4" customWidth="1"/>
    <col min="4" max="4" width="20.88671875" style="4" customWidth="1"/>
    <col min="5" max="5" width="20.88671875" style="4" hidden="1" customWidth="1"/>
    <col min="6" max="6" width="9.5546875" style="7" customWidth="1"/>
    <col min="7" max="7" width="16.5546875" style="4" customWidth="1"/>
    <col min="8" max="8" width="6.109375" style="7" customWidth="1"/>
    <col min="9" max="9" width="22.6640625" style="4" customWidth="1"/>
    <col min="10" max="10" width="22.6640625" style="7" customWidth="1"/>
    <col min="11" max="11" width="12.44140625" style="4"/>
    <col min="12" max="12" width="3" style="4" customWidth="1"/>
    <col min="13" max="13" width="10.6640625" style="4" customWidth="1"/>
    <col min="14" max="14" width="17.5546875" style="4" customWidth="1"/>
    <col min="15" max="15" width="12.44140625" style="4"/>
    <col min="16" max="16" width="12.44140625" style="7"/>
    <col min="17" max="16384" width="12.44140625" style="4"/>
  </cols>
  <sheetData>
    <row r="1" spans="1:16" ht="37.5" customHeight="1" x14ac:dyDescent="0.35">
      <c r="A1" s="8" t="s">
        <v>17</v>
      </c>
      <c r="B1" s="8" t="s">
        <v>5</v>
      </c>
      <c r="C1" s="8" t="s">
        <v>6</v>
      </c>
      <c r="D1" s="8" t="s">
        <v>16</v>
      </c>
      <c r="E1" s="8" t="s">
        <v>42</v>
      </c>
      <c r="F1" s="8" t="s">
        <v>10</v>
      </c>
      <c r="G1" s="9" t="s">
        <v>7</v>
      </c>
      <c r="H1" s="8" t="s">
        <v>8</v>
      </c>
      <c r="I1" s="9" t="s">
        <v>38</v>
      </c>
      <c r="J1" s="9" t="s">
        <v>39</v>
      </c>
      <c r="K1" s="234" t="s">
        <v>14</v>
      </c>
      <c r="L1" s="235"/>
      <c r="N1" s="236"/>
      <c r="O1" s="237"/>
      <c r="P1"/>
    </row>
    <row r="2" spans="1:16" ht="18" customHeight="1" x14ac:dyDescent="0.35">
      <c r="A2" s="10">
        <f>ROW()-1</f>
        <v>1</v>
      </c>
      <c r="B2" s="10" t="s">
        <v>67</v>
      </c>
      <c r="C2" s="10" t="s">
        <v>68</v>
      </c>
      <c r="D2" s="10" t="str">
        <f>C2&amp;"_"&amp;B2</f>
        <v>Sandrine_Angéloz</v>
      </c>
      <c r="E2" s="10" t="str">
        <f>B2&amp;"_"&amp;C2</f>
        <v>Angéloz_Sandrine</v>
      </c>
      <c r="F2" s="11" t="s">
        <v>9</v>
      </c>
      <c r="G2" s="184">
        <v>37333</v>
      </c>
      <c r="H2" s="11" t="s">
        <v>64</v>
      </c>
      <c r="I2" s="180">
        <v>50</v>
      </c>
      <c r="J2" s="11">
        <f t="shared" ref="J2:J46" si="0">COUNTIF(planning_general,$D2)*10</f>
        <v>40</v>
      </c>
      <c r="K2" s="90" t="s">
        <v>63</v>
      </c>
      <c r="L2" s="6">
        <f>COUNTIF($H$2:$H$43,$K2)</f>
        <v>20</v>
      </c>
      <c r="N2" s="119" t="s">
        <v>15</v>
      </c>
      <c r="O2" s="5">
        <f>COUNTIF($I$2:$I$43,"&gt;0")</f>
        <v>41</v>
      </c>
      <c r="P2"/>
    </row>
    <row r="3" spans="1:16" ht="18" customHeight="1" x14ac:dyDescent="0.35">
      <c r="A3" s="10">
        <f t="shared" ref="A3:A46" si="1">ROW()-1</f>
        <v>2</v>
      </c>
      <c r="B3" s="10" t="s">
        <v>69</v>
      </c>
      <c r="C3" s="10" t="s">
        <v>70</v>
      </c>
      <c r="D3" s="10" t="str">
        <f>C3&amp;"_"&amp;B3</f>
        <v>Cédric_Banderet</v>
      </c>
      <c r="E3" s="10" t="str">
        <f>B3&amp;"_"&amp;C3</f>
        <v>Banderet_Cédric</v>
      </c>
      <c r="F3" s="11" t="s">
        <v>11</v>
      </c>
      <c r="G3" s="184">
        <v>40238</v>
      </c>
      <c r="H3" s="11" t="s">
        <v>65</v>
      </c>
      <c r="I3" s="180">
        <v>90</v>
      </c>
      <c r="J3" s="11">
        <f t="shared" si="0"/>
        <v>90</v>
      </c>
      <c r="K3" s="90" t="s">
        <v>64</v>
      </c>
      <c r="L3" s="6">
        <f>COUNTIF($H$2:$H$43,$K3)</f>
        <v>9</v>
      </c>
      <c r="N3" s="119" t="s">
        <v>13</v>
      </c>
      <c r="O3" s="5">
        <f>COUNTIF($F$2:$F$43,"F")</f>
        <v>27</v>
      </c>
      <c r="P3"/>
    </row>
    <row r="4" spans="1:16" ht="18" customHeight="1" x14ac:dyDescent="0.35">
      <c r="A4" s="10">
        <f t="shared" si="1"/>
        <v>3</v>
      </c>
      <c r="B4" s="10" t="s">
        <v>71</v>
      </c>
      <c r="C4" s="10" t="s">
        <v>72</v>
      </c>
      <c r="D4" s="10" t="str">
        <f>C4&amp;"_"&amp;B4</f>
        <v>Anne-Laure_Berger</v>
      </c>
      <c r="E4" s="10" t="str">
        <f>B4&amp;"_"&amp;C4</f>
        <v>Berger_Anne-Laure</v>
      </c>
      <c r="F4" s="11" t="s">
        <v>9</v>
      </c>
      <c r="G4" s="184">
        <v>40219</v>
      </c>
      <c r="H4" s="11" t="s">
        <v>63</v>
      </c>
      <c r="I4" s="180">
        <v>20</v>
      </c>
      <c r="J4" s="11">
        <f t="shared" si="0"/>
        <v>30</v>
      </c>
      <c r="K4" s="90" t="s">
        <v>65</v>
      </c>
      <c r="L4" s="6">
        <f>COUNTIF($H$2:$H$43,$K4)</f>
        <v>11</v>
      </c>
      <c r="N4" s="119" t="s">
        <v>12</v>
      </c>
      <c r="O4" s="5">
        <f>COUNTIF($F$2:$F$43,"H")</f>
        <v>14</v>
      </c>
      <c r="P4"/>
    </row>
    <row r="5" spans="1:16" ht="18" customHeight="1" x14ac:dyDescent="0.35">
      <c r="A5" s="10">
        <f t="shared" si="1"/>
        <v>4</v>
      </c>
      <c r="B5" s="10" t="s">
        <v>151</v>
      </c>
      <c r="C5" s="10" t="s">
        <v>164</v>
      </c>
      <c r="D5" s="10" t="str">
        <f>C5&amp;"_"&amp;B5</f>
        <v>Arwen_Bersier</v>
      </c>
      <c r="E5" s="10" t="str">
        <f>B5&amp;"_"&amp;C5</f>
        <v>Bersier_Arwen</v>
      </c>
      <c r="F5" s="11" t="s">
        <v>9</v>
      </c>
      <c r="G5" s="184">
        <v>42590</v>
      </c>
      <c r="H5" s="11" t="s">
        <v>65</v>
      </c>
      <c r="I5" s="180">
        <v>60</v>
      </c>
      <c r="J5" s="11">
        <f t="shared" si="0"/>
        <v>60</v>
      </c>
      <c r="K5" s="106" t="s">
        <v>66</v>
      </c>
      <c r="L5" s="6">
        <f t="shared" ref="L5:L7" si="2">COUNTIF($H$2:$H$43,$K5)</f>
        <v>1</v>
      </c>
      <c r="N5" s="120" t="s">
        <v>53</v>
      </c>
      <c r="O5" s="5">
        <f>SUM($I$2:$I$43)</f>
        <v>1710</v>
      </c>
    </row>
    <row r="6" spans="1:16" ht="18" customHeight="1" x14ac:dyDescent="0.35">
      <c r="A6" s="10">
        <f t="shared" si="1"/>
        <v>5</v>
      </c>
      <c r="B6" s="10" t="s">
        <v>73</v>
      </c>
      <c r="C6" s="10" t="s">
        <v>74</v>
      </c>
      <c r="D6" s="10" t="str">
        <f>C6&amp;"_"&amp;B6</f>
        <v>Dominique_Bigler</v>
      </c>
      <c r="E6" s="10" t="str">
        <f>B6&amp;"_"&amp;C6</f>
        <v>Bigler_Dominique</v>
      </c>
      <c r="F6" s="11" t="s">
        <v>11</v>
      </c>
      <c r="G6" s="184">
        <v>37029</v>
      </c>
      <c r="H6" s="11" t="s">
        <v>65</v>
      </c>
      <c r="I6" s="180">
        <v>20</v>
      </c>
      <c r="J6" s="11">
        <f t="shared" si="0"/>
        <v>20</v>
      </c>
      <c r="K6" s="106" t="s">
        <v>34</v>
      </c>
      <c r="L6" s="6">
        <f t="shared" si="2"/>
        <v>0</v>
      </c>
      <c r="N6" s="120" t="s">
        <v>54</v>
      </c>
      <c r="O6" s="5">
        <f>SUM($J$2:$J$43)</f>
        <v>1780</v>
      </c>
    </row>
    <row r="7" spans="1:16" ht="18" customHeight="1" x14ac:dyDescent="0.35">
      <c r="A7" s="10">
        <f t="shared" si="1"/>
        <v>6</v>
      </c>
      <c r="B7" s="10" t="s">
        <v>152</v>
      </c>
      <c r="C7" s="10" t="s">
        <v>165</v>
      </c>
      <c r="D7" s="10" t="str">
        <f>C7&amp;"_"&amp;B7</f>
        <v>Mélanie_Buschlen</v>
      </c>
      <c r="E7" s="10" t="str">
        <f>B7&amp;"_"&amp;C7</f>
        <v>Buschlen_Mélanie</v>
      </c>
      <c r="F7" s="11" t="s">
        <v>9</v>
      </c>
      <c r="G7" s="184">
        <v>42653</v>
      </c>
      <c r="H7" s="11" t="s">
        <v>63</v>
      </c>
      <c r="I7" s="180">
        <v>60</v>
      </c>
      <c r="J7" s="11">
        <f t="shared" si="0"/>
        <v>60</v>
      </c>
      <c r="K7" s="106" t="s">
        <v>34</v>
      </c>
      <c r="L7" s="6">
        <f t="shared" si="2"/>
        <v>0</v>
      </c>
    </row>
    <row r="8" spans="1:16" ht="18" customHeight="1" x14ac:dyDescent="0.35">
      <c r="A8" s="10">
        <f t="shared" si="1"/>
        <v>7</v>
      </c>
      <c r="B8" s="10" t="s">
        <v>153</v>
      </c>
      <c r="C8" s="10" t="s">
        <v>166</v>
      </c>
      <c r="D8" s="10" t="str">
        <f>C8&amp;"_"&amp;B8</f>
        <v>Stephanie_Chareyrat</v>
      </c>
      <c r="E8" s="10" t="str">
        <f>B8&amp;"_"&amp;C8</f>
        <v>Chareyrat_Stephanie</v>
      </c>
      <c r="F8" s="11" t="s">
        <v>9</v>
      </c>
      <c r="G8" s="184">
        <v>42401</v>
      </c>
      <c r="H8" s="11" t="s">
        <v>64</v>
      </c>
      <c r="I8" s="180">
        <v>10</v>
      </c>
      <c r="J8" s="11">
        <f t="shared" si="0"/>
        <v>10</v>
      </c>
    </row>
    <row r="9" spans="1:16" ht="18" customHeight="1" x14ac:dyDescent="0.35">
      <c r="A9" s="10">
        <f t="shared" si="1"/>
        <v>8</v>
      </c>
      <c r="B9" s="10" t="s">
        <v>75</v>
      </c>
      <c r="C9" s="10" t="s">
        <v>76</v>
      </c>
      <c r="D9" s="10" t="str">
        <f>C9&amp;"_"&amp;B9</f>
        <v>Olivia_Coulon</v>
      </c>
      <c r="E9" s="10" t="str">
        <f>B9&amp;"_"&amp;C9</f>
        <v>Coulon_Olivia</v>
      </c>
      <c r="F9" s="11" t="s">
        <v>9</v>
      </c>
      <c r="G9" s="184">
        <v>39351</v>
      </c>
      <c r="H9" s="11" t="s">
        <v>63</v>
      </c>
      <c r="I9" s="180">
        <v>40</v>
      </c>
      <c r="J9" s="11">
        <f t="shared" si="0"/>
        <v>40</v>
      </c>
    </row>
    <row r="10" spans="1:16" ht="18" customHeight="1" x14ac:dyDescent="0.35">
      <c r="A10" s="10">
        <f t="shared" si="1"/>
        <v>9</v>
      </c>
      <c r="B10" s="10" t="s">
        <v>77</v>
      </c>
      <c r="C10" s="10" t="s">
        <v>78</v>
      </c>
      <c r="D10" s="10" t="str">
        <f>C10&amp;"_"&amp;B10</f>
        <v>Carlos_Da Silva Ferreira</v>
      </c>
      <c r="E10" s="10" t="str">
        <f>B10&amp;"_"&amp;C10</f>
        <v>Da Silva Ferreira_Carlos</v>
      </c>
      <c r="F10" s="11" t="s">
        <v>11</v>
      </c>
      <c r="G10" s="184">
        <v>40637</v>
      </c>
      <c r="H10" s="11" t="s">
        <v>63</v>
      </c>
      <c r="I10" s="180">
        <v>30</v>
      </c>
      <c r="J10" s="11">
        <f t="shared" si="0"/>
        <v>30</v>
      </c>
    </row>
    <row r="11" spans="1:16" ht="18" customHeight="1" x14ac:dyDescent="0.35">
      <c r="A11" s="10">
        <f t="shared" si="1"/>
        <v>10</v>
      </c>
      <c r="B11" s="10" t="s">
        <v>154</v>
      </c>
      <c r="C11" s="10" t="s">
        <v>167</v>
      </c>
      <c r="D11" s="10" t="str">
        <f>C11&amp;"_"&amp;B11</f>
        <v>Aline_David</v>
      </c>
      <c r="E11" s="10" t="str">
        <f>B11&amp;"_"&amp;C11</f>
        <v>David_Aline</v>
      </c>
      <c r="F11" s="11" t="s">
        <v>9</v>
      </c>
      <c r="G11" s="184">
        <v>42471</v>
      </c>
      <c r="H11" s="11" t="s">
        <v>64</v>
      </c>
      <c r="I11" s="180">
        <v>20</v>
      </c>
      <c r="J11" s="11">
        <f t="shared" si="0"/>
        <v>20</v>
      </c>
    </row>
    <row r="12" spans="1:16" ht="18" customHeight="1" x14ac:dyDescent="0.35">
      <c r="A12" s="10">
        <f t="shared" si="1"/>
        <v>11</v>
      </c>
      <c r="B12" s="10" t="s">
        <v>79</v>
      </c>
      <c r="C12" s="10" t="s">
        <v>80</v>
      </c>
      <c r="D12" s="10" t="str">
        <f>C12&amp;"_"&amp;B12</f>
        <v>Maud_Dépraz</v>
      </c>
      <c r="E12" s="10" t="str">
        <f>B12&amp;"_"&amp;C12</f>
        <v>Dépraz_Maud</v>
      </c>
      <c r="F12" s="11" t="s">
        <v>9</v>
      </c>
      <c r="G12" s="184">
        <v>39692</v>
      </c>
      <c r="H12" s="11" t="s">
        <v>63</v>
      </c>
      <c r="I12" s="180">
        <v>30</v>
      </c>
      <c r="J12" s="11">
        <f t="shared" si="0"/>
        <v>30</v>
      </c>
    </row>
    <row r="13" spans="1:16" ht="18" customHeight="1" x14ac:dyDescent="0.35">
      <c r="A13" s="10">
        <f t="shared" si="1"/>
        <v>12</v>
      </c>
      <c r="B13" s="10" t="s">
        <v>81</v>
      </c>
      <c r="C13" s="10" t="s">
        <v>82</v>
      </c>
      <c r="D13" s="10" t="str">
        <f>C13&amp;"_"&amp;B13</f>
        <v>Nicolas_Ducraux</v>
      </c>
      <c r="E13" s="10" t="str">
        <f>B13&amp;"_"&amp;C13</f>
        <v>Ducraux_Nicolas</v>
      </c>
      <c r="F13" s="11" t="s">
        <v>11</v>
      </c>
      <c r="G13" s="184">
        <v>41911</v>
      </c>
      <c r="H13" s="11" t="s">
        <v>65</v>
      </c>
      <c r="I13" s="180">
        <v>60</v>
      </c>
      <c r="J13" s="11">
        <f t="shared" si="0"/>
        <v>60</v>
      </c>
      <c r="K13"/>
    </row>
    <row r="14" spans="1:16" ht="18" customHeight="1" x14ac:dyDescent="0.35">
      <c r="A14" s="10">
        <f t="shared" si="1"/>
        <v>13</v>
      </c>
      <c r="B14" s="10" t="s">
        <v>155</v>
      </c>
      <c r="C14" s="10" t="s">
        <v>168</v>
      </c>
      <c r="D14" s="10" t="str">
        <f>C14&amp;"_"&amp;B14</f>
        <v>Samantha_Franzone</v>
      </c>
      <c r="E14" s="10" t="str">
        <f>B14&amp;"_"&amp;C14</f>
        <v>Franzone_Samantha</v>
      </c>
      <c r="F14" s="11" t="s">
        <v>9</v>
      </c>
      <c r="G14" s="184">
        <v>42705</v>
      </c>
      <c r="H14" s="11" t="s">
        <v>63</v>
      </c>
      <c r="I14" s="180">
        <v>10</v>
      </c>
      <c r="J14" s="11">
        <f t="shared" si="0"/>
        <v>10</v>
      </c>
    </row>
    <row r="15" spans="1:16" ht="18" customHeight="1" x14ac:dyDescent="0.35">
      <c r="A15" s="10">
        <f t="shared" si="1"/>
        <v>14</v>
      </c>
      <c r="B15" s="10" t="s">
        <v>156</v>
      </c>
      <c r="C15" s="10" t="s">
        <v>169</v>
      </c>
      <c r="D15" s="10" t="str">
        <f>C15&amp;"_"&amp;B15</f>
        <v>Sylvie_Guilgot</v>
      </c>
      <c r="E15" s="10" t="str">
        <f>B15&amp;"_"&amp;C15</f>
        <v>Guilgot_Sylvie</v>
      </c>
      <c r="F15" s="11" t="s">
        <v>9</v>
      </c>
      <c r="G15" s="184">
        <v>42705</v>
      </c>
      <c r="H15" s="11" t="s">
        <v>65</v>
      </c>
      <c r="I15" s="180">
        <v>40</v>
      </c>
      <c r="J15" s="11">
        <f t="shared" si="0"/>
        <v>40</v>
      </c>
    </row>
    <row r="16" spans="1:16" ht="18" customHeight="1" x14ac:dyDescent="0.35">
      <c r="A16" s="10">
        <f t="shared" si="1"/>
        <v>15</v>
      </c>
      <c r="B16" s="10" t="s">
        <v>83</v>
      </c>
      <c r="C16" s="10" t="s">
        <v>74</v>
      </c>
      <c r="D16" s="10" t="str">
        <f>C16&amp;"_"&amp;B16</f>
        <v>Dominique_Hafner</v>
      </c>
      <c r="E16" s="10" t="str">
        <f>B16&amp;"_"&amp;C16</f>
        <v>Hafner_Dominique</v>
      </c>
      <c r="F16" s="11" t="s">
        <v>11</v>
      </c>
      <c r="G16" s="184">
        <v>40120</v>
      </c>
      <c r="H16" s="11" t="s">
        <v>63</v>
      </c>
      <c r="I16" s="180">
        <v>60</v>
      </c>
      <c r="J16" s="11">
        <f t="shared" si="0"/>
        <v>60</v>
      </c>
    </row>
    <row r="17" spans="1:16" ht="18" customHeight="1" x14ac:dyDescent="0.35">
      <c r="A17" s="10">
        <f t="shared" si="1"/>
        <v>16</v>
      </c>
      <c r="B17" s="10" t="s">
        <v>84</v>
      </c>
      <c r="C17" s="10" t="s">
        <v>85</v>
      </c>
      <c r="D17" s="10" t="str">
        <f>C17&amp;"_"&amp;B17</f>
        <v>Dzemila_Hasani</v>
      </c>
      <c r="E17" s="10" t="str">
        <f>B17&amp;"_"&amp;C17</f>
        <v>Hasani_Dzemila</v>
      </c>
      <c r="F17" s="11" t="s">
        <v>9</v>
      </c>
      <c r="G17" s="184">
        <v>37419</v>
      </c>
      <c r="H17" s="11" t="s">
        <v>63</v>
      </c>
      <c r="I17" s="180">
        <v>50</v>
      </c>
      <c r="J17" s="11">
        <f t="shared" si="0"/>
        <v>50</v>
      </c>
    </row>
    <row r="18" spans="1:16" ht="18" customHeight="1" x14ac:dyDescent="0.35">
      <c r="A18" s="10">
        <f t="shared" si="1"/>
        <v>17</v>
      </c>
      <c r="B18" s="10" t="s">
        <v>86</v>
      </c>
      <c r="C18" s="10" t="s">
        <v>87</v>
      </c>
      <c r="D18" s="10" t="str">
        <f>C18&amp;"_"&amp;B18</f>
        <v>Christian_Hatt</v>
      </c>
      <c r="E18" s="10" t="str">
        <f>B18&amp;"_"&amp;C18</f>
        <v>Hatt_Christian</v>
      </c>
      <c r="F18" s="11" t="s">
        <v>11</v>
      </c>
      <c r="G18" s="184">
        <v>38882</v>
      </c>
      <c r="H18" s="11" t="s">
        <v>63</v>
      </c>
      <c r="I18" s="180">
        <v>50</v>
      </c>
      <c r="J18" s="11">
        <f t="shared" si="0"/>
        <v>50</v>
      </c>
    </row>
    <row r="19" spans="1:16" ht="18" customHeight="1" x14ac:dyDescent="0.35">
      <c r="A19" s="10">
        <f t="shared" si="1"/>
        <v>18</v>
      </c>
      <c r="B19" s="10" t="s">
        <v>88</v>
      </c>
      <c r="C19" s="10" t="s">
        <v>89</v>
      </c>
      <c r="D19" s="10" t="str">
        <f>C19&amp;"_"&amp;B19</f>
        <v>Sophie_Junod</v>
      </c>
      <c r="E19" s="10" t="str">
        <f>B19&amp;"_"&amp;C19</f>
        <v>Junod_Sophie</v>
      </c>
      <c r="F19" s="11" t="s">
        <v>9</v>
      </c>
      <c r="G19" s="184">
        <v>37602</v>
      </c>
      <c r="H19" s="11" t="s">
        <v>64</v>
      </c>
      <c r="I19" s="180">
        <v>40</v>
      </c>
      <c r="J19" s="11">
        <f t="shared" si="0"/>
        <v>50</v>
      </c>
    </row>
    <row r="20" spans="1:16" ht="18" customHeight="1" x14ac:dyDescent="0.35">
      <c r="A20" s="10">
        <f t="shared" si="1"/>
        <v>19</v>
      </c>
      <c r="B20" s="10" t="s">
        <v>90</v>
      </c>
      <c r="C20" s="10" t="s">
        <v>91</v>
      </c>
      <c r="D20" s="10" t="str">
        <f>C20&amp;"_"&amp;B20</f>
        <v>Daisy_Kavanagh</v>
      </c>
      <c r="E20" s="10" t="str">
        <f>B20&amp;"_"&amp;C20</f>
        <v>Kavanagh_Daisy</v>
      </c>
      <c r="F20" s="11" t="s">
        <v>9</v>
      </c>
      <c r="G20" s="184">
        <v>42086</v>
      </c>
      <c r="H20" s="11" t="s">
        <v>63</v>
      </c>
      <c r="I20" s="180">
        <v>30</v>
      </c>
      <c r="J20" s="11">
        <f t="shared" si="0"/>
        <v>30</v>
      </c>
    </row>
    <row r="21" spans="1:16" ht="18" customHeight="1" x14ac:dyDescent="0.35">
      <c r="A21" s="10">
        <f t="shared" si="1"/>
        <v>20</v>
      </c>
      <c r="B21" s="10" t="s">
        <v>92</v>
      </c>
      <c r="C21" s="10" t="s">
        <v>52</v>
      </c>
      <c r="D21" s="10" t="str">
        <f>C21&amp;"_"&amp;B21</f>
        <v>Eric_Liégeois</v>
      </c>
      <c r="E21" s="10" t="str">
        <f>B21&amp;"_"&amp;C21</f>
        <v>Liégeois_Eric</v>
      </c>
      <c r="F21" s="11" t="s">
        <v>11</v>
      </c>
      <c r="G21" s="184">
        <v>35549</v>
      </c>
      <c r="H21" s="11" t="s">
        <v>65</v>
      </c>
      <c r="I21" s="180">
        <v>40</v>
      </c>
      <c r="J21" s="11">
        <f t="shared" si="0"/>
        <v>40</v>
      </c>
    </row>
    <row r="22" spans="1:16" ht="18" customHeight="1" x14ac:dyDescent="0.35">
      <c r="A22" s="10">
        <f t="shared" si="1"/>
        <v>21</v>
      </c>
      <c r="B22" s="10" t="s">
        <v>93</v>
      </c>
      <c r="C22" s="10" t="s">
        <v>56</v>
      </c>
      <c r="D22" s="10" t="str">
        <f>C22&amp;"_"&amp;B22</f>
        <v>Manuel_Lopes (Da Cruz)</v>
      </c>
      <c r="E22" s="10" t="str">
        <f>B22&amp;"_"&amp;C22</f>
        <v>Lopes (Da Cruz)_Manuel</v>
      </c>
      <c r="F22" s="11" t="s">
        <v>11</v>
      </c>
      <c r="G22" s="184">
        <v>40673</v>
      </c>
      <c r="H22" s="11" t="s">
        <v>63</v>
      </c>
      <c r="I22" s="180">
        <v>60</v>
      </c>
      <c r="J22" s="11">
        <f t="shared" si="0"/>
        <v>60</v>
      </c>
    </row>
    <row r="23" spans="1:16" ht="18" customHeight="1" x14ac:dyDescent="0.35">
      <c r="A23" s="10">
        <f t="shared" si="1"/>
        <v>22</v>
      </c>
      <c r="B23" s="10" t="s">
        <v>157</v>
      </c>
      <c r="C23" s="10" t="s">
        <v>170</v>
      </c>
      <c r="D23" s="10" t="str">
        <f>C23&amp;"_"&amp;B23</f>
        <v>Graziella_Marchello</v>
      </c>
      <c r="E23" s="10" t="str">
        <f>B23&amp;"_"&amp;C23</f>
        <v>Marchello_Graziella</v>
      </c>
      <c r="F23" s="11" t="s">
        <v>9</v>
      </c>
      <c r="G23" s="184">
        <v>42450</v>
      </c>
      <c r="H23" s="11" t="s">
        <v>65</v>
      </c>
      <c r="I23" s="180">
        <v>40</v>
      </c>
      <c r="J23" s="11">
        <f t="shared" si="0"/>
        <v>40</v>
      </c>
    </row>
    <row r="24" spans="1:16" ht="18" customHeight="1" x14ac:dyDescent="0.35">
      <c r="A24" s="10">
        <f t="shared" si="1"/>
        <v>23</v>
      </c>
      <c r="B24" s="10" t="s">
        <v>94</v>
      </c>
      <c r="C24" s="10" t="s">
        <v>95</v>
      </c>
      <c r="D24" s="10" t="str">
        <f>C24&amp;"_"&amp;B24</f>
        <v>Marie-Hélène_Martin</v>
      </c>
      <c r="E24" s="10" t="str">
        <f>B24&amp;"_"&amp;C24</f>
        <v>Martin_Marie-Hélène</v>
      </c>
      <c r="F24" s="11" t="s">
        <v>9</v>
      </c>
      <c r="G24" s="184">
        <v>36327</v>
      </c>
      <c r="H24" s="11" t="s">
        <v>65</v>
      </c>
      <c r="I24" s="180">
        <v>40</v>
      </c>
      <c r="J24" s="11">
        <f t="shared" si="0"/>
        <v>40</v>
      </c>
    </row>
    <row r="25" spans="1:16" ht="18" customHeight="1" x14ac:dyDescent="0.35">
      <c r="A25" s="10">
        <f t="shared" si="1"/>
        <v>24</v>
      </c>
      <c r="B25" s="10" t="s">
        <v>96</v>
      </c>
      <c r="C25" s="10" t="s">
        <v>97</v>
      </c>
      <c r="D25" s="10" t="str">
        <f>C25&amp;"_"&amp;B25</f>
        <v>Maria-Célia_Matos</v>
      </c>
      <c r="E25" s="10" t="str">
        <f>B25&amp;"_"&amp;C25</f>
        <v>Matos_Maria-Célia</v>
      </c>
      <c r="F25" s="11" t="s">
        <v>9</v>
      </c>
      <c r="G25" s="184">
        <v>36465</v>
      </c>
      <c r="H25" s="11" t="s">
        <v>64</v>
      </c>
      <c r="I25" s="180">
        <v>60</v>
      </c>
      <c r="J25" s="11">
        <f t="shared" si="0"/>
        <v>60</v>
      </c>
    </row>
    <row r="26" spans="1:16" ht="18" customHeight="1" x14ac:dyDescent="0.35">
      <c r="A26" s="10">
        <f t="shared" si="1"/>
        <v>25</v>
      </c>
      <c r="B26" s="10" t="s">
        <v>98</v>
      </c>
      <c r="C26" s="10" t="s">
        <v>99</v>
      </c>
      <c r="D26" s="10" t="str">
        <f>C26&amp;"_"&amp;B26</f>
        <v>Jusuf_Mehmedovic</v>
      </c>
      <c r="E26" s="10" t="str">
        <f>B26&amp;"_"&amp;C26</f>
        <v>Mehmedovic_Jusuf</v>
      </c>
      <c r="F26" s="11" t="s">
        <v>11</v>
      </c>
      <c r="G26" s="184">
        <v>38306</v>
      </c>
      <c r="H26" s="11" t="s">
        <v>63</v>
      </c>
      <c r="I26" s="180">
        <v>90</v>
      </c>
      <c r="J26" s="11">
        <f t="shared" si="0"/>
        <v>90</v>
      </c>
    </row>
    <row r="27" spans="1:16" ht="18" customHeight="1" x14ac:dyDescent="0.35">
      <c r="A27" s="10">
        <f t="shared" si="1"/>
        <v>26</v>
      </c>
      <c r="B27" s="10" t="s">
        <v>100</v>
      </c>
      <c r="C27" s="10" t="s">
        <v>101</v>
      </c>
      <c r="D27" s="10" t="str">
        <f>C27&amp;"_"&amp;B27</f>
        <v>Mickaël_Mottaz</v>
      </c>
      <c r="E27" s="10" t="str">
        <f>B27&amp;"_"&amp;C27</f>
        <v>Mottaz_Mickaël</v>
      </c>
      <c r="F27" s="11" t="s">
        <v>11</v>
      </c>
      <c r="G27" s="184">
        <v>38892</v>
      </c>
      <c r="H27" s="11" t="s">
        <v>63</v>
      </c>
      <c r="I27" s="180">
        <v>40</v>
      </c>
      <c r="J27" s="11">
        <f t="shared" si="0"/>
        <v>40</v>
      </c>
    </row>
    <row r="28" spans="1:16" ht="18" customHeight="1" x14ac:dyDescent="0.35">
      <c r="A28" s="10">
        <f t="shared" si="1"/>
        <v>27</v>
      </c>
      <c r="B28" s="10" t="s">
        <v>102</v>
      </c>
      <c r="C28" s="10" t="s">
        <v>103</v>
      </c>
      <c r="D28" s="10" t="str">
        <f>C28&amp;"_"&amp;B28</f>
        <v>Aurelie_Noulette</v>
      </c>
      <c r="E28" s="10" t="str">
        <f>B28&amp;"_"&amp;C28</f>
        <v>Noulette_Aurelie</v>
      </c>
      <c r="F28" s="11" t="s">
        <v>9</v>
      </c>
      <c r="G28" s="184">
        <v>40603</v>
      </c>
      <c r="H28" s="11" t="s">
        <v>65</v>
      </c>
      <c r="I28" s="180">
        <v>100</v>
      </c>
      <c r="J28" s="11">
        <f t="shared" si="0"/>
        <v>100</v>
      </c>
    </row>
    <row r="29" spans="1:16" ht="18" customHeight="1" x14ac:dyDescent="0.35">
      <c r="A29" s="10">
        <f t="shared" si="1"/>
        <v>28</v>
      </c>
      <c r="B29" s="10" t="s">
        <v>104</v>
      </c>
      <c r="C29" s="10" t="s">
        <v>105</v>
      </c>
      <c r="D29" s="10" t="str">
        <f>C29&amp;"_"&amp;B29</f>
        <v>Sylvianne_Nyedegger</v>
      </c>
      <c r="E29" s="10" t="str">
        <f>B29&amp;"_"&amp;C29</f>
        <v>Nyedegger_Sylvianne</v>
      </c>
      <c r="F29" s="11" t="s">
        <v>9</v>
      </c>
      <c r="G29" s="184">
        <v>37313</v>
      </c>
      <c r="H29" s="11" t="s">
        <v>66</v>
      </c>
      <c r="I29" s="180">
        <v>10</v>
      </c>
      <c r="J29" s="11">
        <f t="shared" si="0"/>
        <v>20</v>
      </c>
    </row>
    <row r="30" spans="1:16" ht="18" customHeight="1" x14ac:dyDescent="0.35">
      <c r="A30" s="10">
        <f t="shared" si="1"/>
        <v>29</v>
      </c>
      <c r="B30" s="10" t="s">
        <v>106</v>
      </c>
      <c r="C30" s="10" t="s">
        <v>107</v>
      </c>
      <c r="D30" s="10" t="str">
        <f>C30&amp;"_"&amp;B30</f>
        <v>Emilie_Pacaux</v>
      </c>
      <c r="E30" s="10" t="str">
        <f>B30&amp;"_"&amp;C30</f>
        <v>Pacaux_Emilie</v>
      </c>
      <c r="F30" s="11" t="s">
        <v>9</v>
      </c>
      <c r="G30" s="184">
        <v>38091</v>
      </c>
      <c r="H30" s="11" t="s">
        <v>64</v>
      </c>
      <c r="I30" s="180">
        <v>50</v>
      </c>
      <c r="J30" s="11">
        <f t="shared" si="0"/>
        <v>60</v>
      </c>
      <c r="P30" s="4"/>
    </row>
    <row r="31" spans="1:16" ht="18" customHeight="1" x14ac:dyDescent="0.35">
      <c r="A31" s="10">
        <f t="shared" si="1"/>
        <v>30</v>
      </c>
      <c r="B31" s="10" t="s">
        <v>158</v>
      </c>
      <c r="C31" s="10" t="s">
        <v>89</v>
      </c>
      <c r="D31" s="10" t="str">
        <f>C31&amp;"_"&amp;B31</f>
        <v>Sophie_Piguet</v>
      </c>
      <c r="E31" s="10" t="str">
        <f>B31&amp;"_"&amp;C31</f>
        <v>Piguet_Sophie</v>
      </c>
      <c r="F31" s="11" t="s">
        <v>9</v>
      </c>
      <c r="G31" s="184">
        <v>42705</v>
      </c>
      <c r="H31" s="11" t="s">
        <v>63</v>
      </c>
      <c r="I31" s="180">
        <v>40</v>
      </c>
      <c r="J31" s="11">
        <f t="shared" si="0"/>
        <v>40</v>
      </c>
      <c r="P31" s="4"/>
    </row>
    <row r="32" spans="1:16" ht="18" customHeight="1" x14ac:dyDescent="0.35">
      <c r="A32" s="10">
        <f t="shared" si="1"/>
        <v>31</v>
      </c>
      <c r="B32" s="10" t="s">
        <v>108</v>
      </c>
      <c r="C32" s="10" t="s">
        <v>109</v>
      </c>
      <c r="D32" s="10" t="str">
        <f>C32&amp;"_"&amp;B32</f>
        <v>Marie-Noëlle_Probst</v>
      </c>
      <c r="E32" s="10" t="str">
        <f>B32&amp;"_"&amp;C32</f>
        <v>Probst_Marie-Noëlle</v>
      </c>
      <c r="F32" s="11" t="s">
        <v>9</v>
      </c>
      <c r="G32" s="184">
        <v>42065</v>
      </c>
      <c r="H32" s="11" t="s">
        <v>65</v>
      </c>
      <c r="I32" s="180">
        <v>30</v>
      </c>
      <c r="J32" s="11">
        <f t="shared" si="0"/>
        <v>40</v>
      </c>
      <c r="P32" s="4"/>
    </row>
    <row r="33" spans="1:16" ht="18" customHeight="1" x14ac:dyDescent="0.35">
      <c r="A33" s="10">
        <f t="shared" si="1"/>
        <v>32</v>
      </c>
      <c r="B33" s="10" t="s">
        <v>159</v>
      </c>
      <c r="C33" s="10" t="s">
        <v>171</v>
      </c>
      <c r="D33" s="10" t="str">
        <f>C33&amp;"_"&amp;B33</f>
        <v>Elodie_Ravy</v>
      </c>
      <c r="E33" s="10" t="str">
        <f>B33&amp;"_"&amp;C33</f>
        <v>Ravy_Elodie</v>
      </c>
      <c r="F33" s="11" t="s">
        <v>9</v>
      </c>
      <c r="G33" s="184">
        <v>42675</v>
      </c>
      <c r="H33" s="11" t="s">
        <v>63</v>
      </c>
      <c r="I33" s="180">
        <v>30</v>
      </c>
      <c r="J33" s="11">
        <f t="shared" si="0"/>
        <v>30</v>
      </c>
      <c r="P33" s="4"/>
    </row>
    <row r="34" spans="1:16" ht="18" customHeight="1" x14ac:dyDescent="0.35">
      <c r="A34" s="10">
        <f t="shared" si="1"/>
        <v>33</v>
      </c>
      <c r="B34" s="10" t="s">
        <v>110</v>
      </c>
      <c r="C34" s="10" t="s">
        <v>111</v>
      </c>
      <c r="D34" s="10" t="str">
        <f>C34&amp;"_"&amp;B34</f>
        <v>Anne-Line_Reymond</v>
      </c>
      <c r="E34" s="10" t="str">
        <f>B34&amp;"_"&amp;C34</f>
        <v>Reymond_Anne-Line</v>
      </c>
      <c r="F34" s="11" t="s">
        <v>9</v>
      </c>
      <c r="G34" s="184">
        <v>39881</v>
      </c>
      <c r="H34" s="11" t="s">
        <v>64</v>
      </c>
      <c r="I34" s="180">
        <v>20</v>
      </c>
      <c r="J34" s="11">
        <f t="shared" si="0"/>
        <v>40</v>
      </c>
    </row>
    <row r="35" spans="1:16" ht="18" customHeight="1" x14ac:dyDescent="0.35">
      <c r="A35" s="10">
        <f t="shared" si="1"/>
        <v>34</v>
      </c>
      <c r="B35" s="115" t="s">
        <v>160</v>
      </c>
      <c r="C35" s="116" t="s">
        <v>172</v>
      </c>
      <c r="D35" s="10" t="str">
        <f>C35&amp;"_"&amp;B35</f>
        <v>Philippe_Rezé</v>
      </c>
      <c r="E35" s="10" t="str">
        <f>B35&amp;"_"&amp;C35</f>
        <v>Rezé_Philippe</v>
      </c>
      <c r="F35" s="11" t="s">
        <v>11</v>
      </c>
      <c r="G35" s="184">
        <v>42401</v>
      </c>
      <c r="H35" s="11" t="s">
        <v>64</v>
      </c>
      <c r="I35" s="180">
        <v>10</v>
      </c>
      <c r="J35" s="11">
        <f t="shared" si="0"/>
        <v>10</v>
      </c>
    </row>
    <row r="36" spans="1:16" ht="18" customHeight="1" x14ac:dyDescent="0.35">
      <c r="A36" s="10">
        <f t="shared" si="1"/>
        <v>35</v>
      </c>
      <c r="B36" s="117" t="s">
        <v>112</v>
      </c>
      <c r="C36" s="116" t="s">
        <v>113</v>
      </c>
      <c r="D36" s="116" t="str">
        <f>C36&amp;"_"&amp;B36</f>
        <v>Yves_Schenker</v>
      </c>
      <c r="E36" s="10" t="str">
        <f>B36&amp;"_"&amp;C36</f>
        <v>Schenker_Yves</v>
      </c>
      <c r="F36" s="11" t="s">
        <v>11</v>
      </c>
      <c r="G36" s="184">
        <v>39610</v>
      </c>
      <c r="H36" s="11" t="s">
        <v>63</v>
      </c>
      <c r="I36" s="180">
        <v>30</v>
      </c>
      <c r="J36" s="11">
        <f t="shared" si="0"/>
        <v>30</v>
      </c>
    </row>
    <row r="37" spans="1:16" ht="18" customHeight="1" x14ac:dyDescent="0.35">
      <c r="A37" s="10">
        <f t="shared" si="1"/>
        <v>36</v>
      </c>
      <c r="B37" s="115" t="s">
        <v>114</v>
      </c>
      <c r="C37" s="115" t="s">
        <v>115</v>
      </c>
      <c r="D37" s="116" t="str">
        <f>C37&amp;"_"&amp;B37</f>
        <v>Yaya_Sessay</v>
      </c>
      <c r="E37" s="10" t="str">
        <f>B37&amp;"_"&amp;C37</f>
        <v>Sessay_Yaya</v>
      </c>
      <c r="F37" s="11" t="s">
        <v>9</v>
      </c>
      <c r="G37" s="184">
        <v>37711</v>
      </c>
      <c r="H37" s="11" t="s">
        <v>63</v>
      </c>
      <c r="I37" s="180">
        <v>50</v>
      </c>
      <c r="J37" s="11">
        <f t="shared" si="0"/>
        <v>50</v>
      </c>
    </row>
    <row r="38" spans="1:16" ht="18" customHeight="1" x14ac:dyDescent="0.35">
      <c r="A38" s="10">
        <f t="shared" si="1"/>
        <v>37</v>
      </c>
      <c r="B38" s="117" t="s">
        <v>161</v>
      </c>
      <c r="C38" s="115" t="s">
        <v>173</v>
      </c>
      <c r="D38" s="116" t="str">
        <f>C38&amp;"_"&amp;B38</f>
        <v>Jonathan_Solak</v>
      </c>
      <c r="E38" s="10" t="str">
        <f>B38&amp;"_"&amp;C38</f>
        <v>Solak_Jonathan</v>
      </c>
      <c r="F38" s="11" t="s">
        <v>11</v>
      </c>
      <c r="G38" s="184">
        <v>42478</v>
      </c>
      <c r="H38" s="11" t="s">
        <v>63</v>
      </c>
      <c r="I38" s="180">
        <v>50</v>
      </c>
      <c r="J38" s="11">
        <f t="shared" si="0"/>
        <v>50</v>
      </c>
    </row>
    <row r="39" spans="1:16" ht="18" customHeight="1" x14ac:dyDescent="0.35">
      <c r="A39" s="10">
        <f t="shared" si="1"/>
        <v>38</v>
      </c>
      <c r="B39" s="10" t="s">
        <v>162</v>
      </c>
      <c r="C39" s="10" t="s">
        <v>174</v>
      </c>
      <c r="D39" s="10" t="str">
        <f>C39&amp;"_"&amp;B39</f>
        <v>Selim_Taha</v>
      </c>
      <c r="E39" s="10" t="str">
        <f>B39&amp;"_"&amp;C39</f>
        <v>Taha_Selim</v>
      </c>
      <c r="F39" s="11" t="s">
        <v>11</v>
      </c>
      <c r="G39" s="184">
        <v>42590</v>
      </c>
      <c r="H39" s="11" t="s">
        <v>65</v>
      </c>
      <c r="I39" s="180">
        <v>40</v>
      </c>
      <c r="J39" s="11">
        <f t="shared" si="0"/>
        <v>50</v>
      </c>
    </row>
    <row r="40" spans="1:16" ht="18" customHeight="1" x14ac:dyDescent="0.35">
      <c r="A40" s="10">
        <f t="shared" si="1"/>
        <v>39</v>
      </c>
      <c r="B40" s="10" t="s">
        <v>116</v>
      </c>
      <c r="C40" s="10" t="s">
        <v>117</v>
      </c>
      <c r="D40" s="10" t="str">
        <f>C40&amp;"_"&amp;B40</f>
        <v>Yvonne_Trinkler</v>
      </c>
      <c r="E40" s="10" t="str">
        <f>B40&amp;"_"&amp;C40</f>
        <v>Trinkler_Yvonne</v>
      </c>
      <c r="F40" s="11" t="s">
        <v>9</v>
      </c>
      <c r="G40" s="184">
        <v>42009</v>
      </c>
      <c r="H40" s="11" t="s">
        <v>63</v>
      </c>
      <c r="I40" s="180">
        <v>30</v>
      </c>
      <c r="J40" s="11">
        <f t="shared" si="0"/>
        <v>30</v>
      </c>
    </row>
    <row r="41" spans="1:16" ht="18" customHeight="1" x14ac:dyDescent="0.35">
      <c r="A41" s="10">
        <f t="shared" si="1"/>
        <v>40</v>
      </c>
      <c r="B41" s="10" t="s">
        <v>163</v>
      </c>
      <c r="C41" s="10" t="s">
        <v>118</v>
      </c>
      <c r="D41" s="10" t="str">
        <f>C41&amp;"_"&amp;B41</f>
        <v>Emmanuelle_Tschann</v>
      </c>
      <c r="E41" s="10" t="str">
        <f>B41&amp;"_"&amp;C41</f>
        <v>Tschann_Emmanuelle</v>
      </c>
      <c r="F41" s="11" t="s">
        <v>9</v>
      </c>
      <c r="G41" s="184">
        <v>42290</v>
      </c>
      <c r="H41" s="11" t="s">
        <v>64</v>
      </c>
      <c r="I41" s="180">
        <v>40</v>
      </c>
      <c r="J41" s="11">
        <f t="shared" si="0"/>
        <v>40</v>
      </c>
    </row>
    <row r="42" spans="1:16" ht="18" customHeight="1" x14ac:dyDescent="0.35">
      <c r="A42" s="10">
        <f t="shared" si="1"/>
        <v>41</v>
      </c>
      <c r="B42" s="10" t="s">
        <v>119</v>
      </c>
      <c r="C42" s="10" t="s">
        <v>120</v>
      </c>
      <c r="D42" s="10" t="str">
        <f>C42&amp;"_"&amp;B42</f>
        <v>Margharita_Zullo</v>
      </c>
      <c r="E42" s="10" t="str">
        <f>B42&amp;"_"&amp;C42</f>
        <v>Zullo_Margharita</v>
      </c>
      <c r="F42" s="11" t="s">
        <v>9</v>
      </c>
      <c r="G42" s="184">
        <v>41138</v>
      </c>
      <c r="H42" s="11" t="s">
        <v>63</v>
      </c>
      <c r="I42" s="180">
        <v>40</v>
      </c>
      <c r="J42" s="11">
        <f t="shared" si="0"/>
        <v>40</v>
      </c>
    </row>
    <row r="43" spans="1:16" ht="18" customHeight="1" x14ac:dyDescent="0.35">
      <c r="A43" s="10">
        <f t="shared" si="1"/>
        <v>42</v>
      </c>
      <c r="B43" s="10" t="s">
        <v>43</v>
      </c>
      <c r="C43" s="10"/>
      <c r="D43" s="10" t="str">
        <f>C43&amp;"_"&amp;B43</f>
        <v>_zz</v>
      </c>
      <c r="E43" s="10" t="str">
        <f>B43&amp;"_"&amp;C43</f>
        <v>zz_</v>
      </c>
      <c r="F43" s="11"/>
      <c r="G43" s="184"/>
      <c r="H43" s="11"/>
      <c r="I43" s="180"/>
      <c r="J43" s="11">
        <f t="shared" si="0"/>
        <v>0</v>
      </c>
    </row>
    <row r="44" spans="1:16" ht="18" customHeight="1" x14ac:dyDescent="0.35">
      <c r="A44" s="10">
        <f t="shared" si="1"/>
        <v>43</v>
      </c>
      <c r="B44" s="10" t="s">
        <v>43</v>
      </c>
      <c r="C44" s="10"/>
      <c r="D44" s="10" t="str">
        <f>C44&amp;"_"&amp;B44</f>
        <v>_zz</v>
      </c>
      <c r="E44" s="10" t="str">
        <f>B44&amp;"_"&amp;C44</f>
        <v>zz_</v>
      </c>
      <c r="F44" s="11"/>
      <c r="G44" s="184"/>
      <c r="H44" s="11"/>
      <c r="I44" s="180"/>
      <c r="J44" s="11">
        <f t="shared" si="0"/>
        <v>0</v>
      </c>
    </row>
    <row r="45" spans="1:16" ht="18" customHeight="1" x14ac:dyDescent="0.35">
      <c r="A45" s="10">
        <f t="shared" si="1"/>
        <v>44</v>
      </c>
      <c r="B45" s="10" t="s">
        <v>43</v>
      </c>
      <c r="C45" s="10"/>
      <c r="D45" s="10" t="str">
        <f>C45&amp;"_"&amp;B45</f>
        <v>_zz</v>
      </c>
      <c r="E45" s="10" t="str">
        <f>B45&amp;"_"&amp;C45</f>
        <v>zz_</v>
      </c>
      <c r="F45" s="11"/>
      <c r="G45" s="184"/>
      <c r="H45" s="11"/>
      <c r="I45" s="180"/>
      <c r="J45" s="11">
        <f t="shared" si="0"/>
        <v>0</v>
      </c>
    </row>
    <row r="46" spans="1:16" x14ac:dyDescent="0.35">
      <c r="A46" s="10">
        <f t="shared" si="1"/>
        <v>45</v>
      </c>
      <c r="B46" s="10" t="s">
        <v>43</v>
      </c>
      <c r="C46" s="10"/>
      <c r="D46" s="10" t="str">
        <f>C46&amp;"_"&amp;B46</f>
        <v>_zz</v>
      </c>
      <c r="E46" s="10" t="str">
        <f>B46&amp;"_"&amp;C46</f>
        <v>zz_</v>
      </c>
      <c r="F46" s="11"/>
      <c r="G46" s="184"/>
      <c r="H46" s="11"/>
      <c r="I46" s="10"/>
      <c r="J46" s="11">
        <f t="shared" si="0"/>
        <v>0</v>
      </c>
    </row>
  </sheetData>
  <sheetProtection selectLockedCells="1" sort="0"/>
  <sortState ref="B2:I46">
    <sortCondition ref="B2"/>
    <sortCondition ref="C2"/>
  </sortState>
  <mergeCells count="2">
    <mergeCell ref="K1:L1"/>
    <mergeCell ref="N1:O1"/>
  </mergeCells>
  <conditionalFormatting sqref="J2">
    <cfRule type="cellIs" dxfId="1" priority="2" operator="notEqual">
      <formula>$I2</formula>
    </cfRule>
  </conditionalFormatting>
  <conditionalFormatting sqref="J3:J46">
    <cfRule type="cellIs" dxfId="0" priority="1" operator="notEqual">
      <formula>$I3</formula>
    </cfRule>
  </conditionalFormatting>
  <dataValidations count="2">
    <dataValidation type="list" allowBlank="1" showInputMessage="1" showErrorMessage="1" sqref="H2:H46">
      <formula1>referents</formula1>
    </dataValidation>
    <dataValidation type="list" allowBlank="1" showInputMessage="1" showErrorMessage="1" sqref="F2:F46">
      <formula1>"H,F"</formula1>
    </dataValidation>
  </dataValidations>
  <printOptions horizontalCentered="1" verticalCentered="1"/>
  <pageMargins left="0.70866141732283472" right="0.70866141732283472" top="1.1811023622047245" bottom="0.62992125984251968" header="0.47244094488188981" footer="0.23622047244094491"/>
  <pageSetup paperSize="9" scale="68" orientation="landscape" r:id="rId1"/>
  <headerFooter>
    <oddHeader>&amp;L&amp;G&amp;C&amp;"Trebuchet MS,Gras"&amp;14GRAAP - Taux globaux&amp;R&amp;"Trebuchet MS,Gras"&amp;16Page &amp;P</oddHeader>
    <oddFooter>&amp;LFichier du classeur  : &amp;Z&amp;F&amp;COnglet : &amp;A&amp;RImprimé le 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114"/>
  <sheetViews>
    <sheetView topLeftCell="A79" workbookViewId="0">
      <selection activeCell="A85" sqref="A85"/>
    </sheetView>
  </sheetViews>
  <sheetFormatPr baseColWidth="10" defaultRowHeight="14.4" x14ac:dyDescent="0.35"/>
  <cols>
    <col min="1" max="1" width="12.44140625" customWidth="1"/>
    <col min="2" max="2" width="19.21875" bestFit="1" customWidth="1"/>
    <col min="3" max="3" width="34.77734375" bestFit="1" customWidth="1"/>
  </cols>
  <sheetData>
    <row r="1" spans="1:5" ht="20.399999999999999" thickBot="1" x14ac:dyDescent="0.45">
      <c r="A1" s="12" t="s">
        <v>25</v>
      </c>
      <c r="B1" s="12" t="s">
        <v>26</v>
      </c>
      <c r="D1" s="12" t="s">
        <v>25</v>
      </c>
      <c r="E1" s="12" t="s">
        <v>58</v>
      </c>
    </row>
    <row r="2" spans="1:5" ht="15.6" thickTop="1" x14ac:dyDescent="0.35">
      <c r="A2" s="13" t="s">
        <v>27</v>
      </c>
      <c r="B2" s="14" t="s">
        <v>28</v>
      </c>
      <c r="D2" t="s">
        <v>59</v>
      </c>
      <c r="E2" t="s">
        <v>22</v>
      </c>
    </row>
    <row r="3" spans="1:5" x14ac:dyDescent="0.35">
      <c r="A3" t="s">
        <v>47</v>
      </c>
      <c r="B3" s="67"/>
      <c r="D3" t="s">
        <v>60</v>
      </c>
      <c r="E3" t="s">
        <v>57</v>
      </c>
    </row>
    <row r="4" spans="1:5" x14ac:dyDescent="0.35">
      <c r="A4" t="s">
        <v>48</v>
      </c>
      <c r="B4" s="68"/>
      <c r="D4" t="s">
        <v>61</v>
      </c>
      <c r="E4" t="s">
        <v>23</v>
      </c>
    </row>
    <row r="5" spans="1:5" x14ac:dyDescent="0.35">
      <c r="A5" t="s">
        <v>49</v>
      </c>
      <c r="B5" s="69"/>
      <c r="D5" t="s">
        <v>62</v>
      </c>
      <c r="E5" t="s">
        <v>55</v>
      </c>
    </row>
    <row r="9" spans="1:5" ht="20.399999999999999" thickBot="1" x14ac:dyDescent="0.45">
      <c r="A9" s="12" t="s">
        <v>29</v>
      </c>
      <c r="B9" s="12" t="s">
        <v>18</v>
      </c>
      <c r="C9" s="12" t="s">
        <v>19</v>
      </c>
    </row>
    <row r="10" spans="1:5" ht="15" thickTop="1" x14ac:dyDescent="0.35">
      <c r="A10" t="str">
        <f>planning_general!C4</f>
        <v>Réception</v>
      </c>
      <c r="B10" t="str">
        <f>planning_general!$B$4</f>
        <v>Secrétariat-réception</v>
      </c>
      <c r="C10" t="str">
        <f>planning_general!$A$4</f>
        <v>Atelier Services et prestations sociales</v>
      </c>
    </row>
    <row r="11" spans="1:5" x14ac:dyDescent="0.35">
      <c r="A11" t="str">
        <f>planning_general!C5</f>
        <v>Réception</v>
      </c>
      <c r="B11" t="str">
        <f>planning_general!$B$4</f>
        <v>Secrétariat-réception</v>
      </c>
      <c r="C11" t="str">
        <f>planning_general!$A$4</f>
        <v>Atelier Services et prestations sociales</v>
      </c>
    </row>
    <row r="12" spans="1:5" x14ac:dyDescent="0.35">
      <c r="A12" t="str">
        <f>planning_general!C5</f>
        <v>Réception</v>
      </c>
      <c r="B12" t="str">
        <f>planning_general!$B$4</f>
        <v>Secrétariat-réception</v>
      </c>
      <c r="C12" t="str">
        <f>planning_general!$A$4</f>
        <v>Atelier Services et prestations sociales</v>
      </c>
    </row>
    <row r="13" spans="1:5" x14ac:dyDescent="0.35">
      <c r="A13" t="str">
        <f>planning_general!C6</f>
        <v>Réception</v>
      </c>
      <c r="B13" t="str">
        <f>planning_general!$B$4</f>
        <v>Secrétariat-réception</v>
      </c>
      <c r="C13" t="str">
        <f>planning_general!$A$4</f>
        <v>Atelier Services et prestations sociales</v>
      </c>
    </row>
    <row r="14" spans="1:5" x14ac:dyDescent="0.35">
      <c r="A14" t="str">
        <f>planning_general!C7</f>
        <v>Chauffeur</v>
      </c>
      <c r="B14" t="str">
        <f>planning_general!$B$4</f>
        <v>Secrétariat-réception</v>
      </c>
      <c r="C14" t="str">
        <f>planning_general!$A$4</f>
        <v>Atelier Services et prestations sociales</v>
      </c>
    </row>
    <row r="15" spans="1:5" x14ac:dyDescent="0.35">
      <c r="A15" t="str">
        <f>planning_general!C8</f>
        <v>Rédaction</v>
      </c>
      <c r="B15" t="str">
        <f>planning_general!$B$4</f>
        <v>Secrétariat-réception</v>
      </c>
      <c r="C15" t="str">
        <f>planning_general!$A$4</f>
        <v>Atelier Services et prestations sociales</v>
      </c>
    </row>
    <row r="16" spans="1:5" x14ac:dyDescent="0.35">
      <c r="A16" t="str">
        <f>planning_general!C9</f>
        <v>Rédaction</v>
      </c>
      <c r="B16" t="str">
        <f>planning_general!$B$4</f>
        <v>Secrétariat-réception</v>
      </c>
      <c r="C16" t="str">
        <f>planning_general!$A$4</f>
        <v>Atelier Services et prestations sociales</v>
      </c>
    </row>
    <row r="17" spans="1:3" x14ac:dyDescent="0.35">
      <c r="A17" t="str">
        <f>planning_general!C10</f>
        <v>Rédaction</v>
      </c>
      <c r="B17" t="str">
        <f>planning_general!$B$4</f>
        <v>Secrétariat-réception</v>
      </c>
      <c r="C17" t="str">
        <f>planning_general!$A$4</f>
        <v>Atelier Services et prestations sociales</v>
      </c>
    </row>
    <row r="18" spans="1:3" x14ac:dyDescent="0.35">
      <c r="A18" t="str">
        <f>planning_general!C12</f>
        <v>Rédaction</v>
      </c>
      <c r="B18" t="str">
        <f>planning_general!$B$4</f>
        <v>Secrétariat-réception</v>
      </c>
      <c r="C18" t="str">
        <f>planning_general!$A$4</f>
        <v>Atelier Services et prestations sociales</v>
      </c>
    </row>
    <row r="19" spans="1:3" x14ac:dyDescent="0.35">
      <c r="A19" t="str">
        <f>planning_general!C13</f>
        <v>Rédaction</v>
      </c>
      <c r="B19" t="str">
        <f>planning_general!$B$4</f>
        <v>Secrétariat-réception</v>
      </c>
      <c r="C19" t="str">
        <f>planning_general!$A$4</f>
        <v>Atelier Services et prestations sociales</v>
      </c>
    </row>
    <row r="20" spans="1:3" x14ac:dyDescent="0.35">
      <c r="A20" t="str">
        <f>planning_general!C14</f>
        <v>Animation</v>
      </c>
      <c r="B20" t="str">
        <f>planning_general!$B$14</f>
        <v>Animation</v>
      </c>
      <c r="C20" t="str">
        <f>planning_general!$A$4</f>
        <v>Atelier Services et prestations sociales</v>
      </c>
    </row>
    <row r="21" spans="1:3" x14ac:dyDescent="0.35">
      <c r="A21" t="str">
        <f>planning_general!C15</f>
        <v>Animation</v>
      </c>
      <c r="B21" t="str">
        <f>planning_general!$B$14</f>
        <v>Animation</v>
      </c>
      <c r="C21" t="str">
        <f>planning_general!$A$4</f>
        <v>Atelier Services et prestations sociales</v>
      </c>
    </row>
    <row r="22" spans="1:3" x14ac:dyDescent="0.35">
      <c r="A22" t="str">
        <f>planning_general!C16</f>
        <v>Animation</v>
      </c>
      <c r="B22" t="str">
        <f>planning_general!$B$14</f>
        <v>Animation</v>
      </c>
      <c r="C22" t="str">
        <f>planning_general!$A$4</f>
        <v>Atelier Services et prestations sociales</v>
      </c>
    </row>
    <row r="23" spans="1:3" x14ac:dyDescent="0.35">
      <c r="A23" t="str">
        <f>planning_general!C17</f>
        <v>Animation</v>
      </c>
      <c r="B23" t="str">
        <f>planning_general!$B$14</f>
        <v>Animation</v>
      </c>
      <c r="C23" t="str">
        <f>planning_general!$A$4</f>
        <v>Atelier Services et prestations sociales</v>
      </c>
    </row>
    <row r="24" spans="1:3" x14ac:dyDescent="0.35">
      <c r="A24" t="str">
        <f>planning_general!C18</f>
        <v>Animation</v>
      </c>
      <c r="B24" t="str">
        <f>planning_general!$B$14</f>
        <v>Animation</v>
      </c>
      <c r="C24" t="str">
        <f>planning_general!$A$4</f>
        <v>Atelier Services et prestations sociales</v>
      </c>
    </row>
    <row r="25" spans="1:3" x14ac:dyDescent="0.35">
      <c r="A25" t="str">
        <f>planning_general!C19</f>
        <v>Animation</v>
      </c>
      <c r="B25" t="str">
        <f>planning_general!$B$14</f>
        <v>Animation</v>
      </c>
      <c r="C25" t="str">
        <f>planning_general!$A$4</f>
        <v>Atelier Services et prestations sociales</v>
      </c>
    </row>
    <row r="26" spans="1:3" x14ac:dyDescent="0.35">
      <c r="A26" t="str">
        <f>planning_general!C20</f>
        <v>Animation</v>
      </c>
      <c r="B26" t="str">
        <f>planning_general!$B$14</f>
        <v>Animation</v>
      </c>
      <c r="C26" t="str">
        <f>planning_general!$A$4</f>
        <v>Atelier Services et prestations sociales</v>
      </c>
    </row>
    <row r="27" spans="1:3" x14ac:dyDescent="0.35">
      <c r="A27" t="str">
        <f>planning_general!C21</f>
        <v>Animation</v>
      </c>
      <c r="B27" t="str">
        <f>planning_general!$B$14</f>
        <v>Animation</v>
      </c>
      <c r="C27" t="str">
        <f>planning_general!$A$4</f>
        <v>Atelier Services et prestations sociales</v>
      </c>
    </row>
    <row r="28" spans="1:3" x14ac:dyDescent="0.35">
      <c r="A28" t="str">
        <f>planning_general!C22</f>
        <v>Animation</v>
      </c>
      <c r="B28" t="str">
        <f>planning_general!$B$14</f>
        <v>Animation</v>
      </c>
      <c r="C28" t="str">
        <f>planning_general!$A$4</f>
        <v>Atelier Services et prestations sociales</v>
      </c>
    </row>
    <row r="29" spans="1:3" x14ac:dyDescent="0.35">
      <c r="A29" t="str">
        <f>planning_general!C23</f>
        <v>Animation</v>
      </c>
      <c r="B29" t="str">
        <f>planning_general!$B$14</f>
        <v>Animation</v>
      </c>
      <c r="C29" t="str">
        <f>planning_general!$A$4</f>
        <v>Atelier Services et prestations sociales</v>
      </c>
    </row>
    <row r="30" spans="1:3" x14ac:dyDescent="0.35">
      <c r="A30" t="str">
        <f>planning_general!C24</f>
        <v>REA</v>
      </c>
      <c r="B30" t="str">
        <f>planning_general!$B$24</f>
        <v>REA</v>
      </c>
      <c r="C30" t="str">
        <f>planning_general!$A$4</f>
        <v>Atelier Services et prestations sociales</v>
      </c>
    </row>
    <row r="31" spans="1:3" x14ac:dyDescent="0.35">
      <c r="A31" t="str">
        <f>planning_general!C25</f>
        <v>REA</v>
      </c>
      <c r="B31" t="str">
        <f>planning_general!$B$24</f>
        <v>REA</v>
      </c>
      <c r="C31" t="str">
        <f>planning_general!$A$4</f>
        <v>Atelier Services et prestations sociales</v>
      </c>
    </row>
    <row r="32" spans="1:3" x14ac:dyDescent="0.35">
      <c r="A32" t="str">
        <f>planning_general!C26</f>
        <v>REA</v>
      </c>
      <c r="B32" t="str">
        <f>planning_general!$B$24</f>
        <v>REA</v>
      </c>
      <c r="C32" t="str">
        <f>planning_general!$A$4</f>
        <v>Atelier Services et prestations sociales</v>
      </c>
    </row>
    <row r="33" spans="1:3" x14ac:dyDescent="0.35">
      <c r="A33" t="str">
        <f>planning_general!C27</f>
        <v>REA</v>
      </c>
      <c r="B33" t="str">
        <f>planning_general!$B$24</f>
        <v>REA</v>
      </c>
      <c r="C33" t="str">
        <f>planning_general!$A$4</f>
        <v>Atelier Services et prestations sociales</v>
      </c>
    </row>
    <row r="34" spans="1:3" x14ac:dyDescent="0.35">
      <c r="A34" t="str">
        <f>planning_general!C28</f>
        <v>REA</v>
      </c>
      <c r="B34" t="str">
        <f>planning_general!$B$24</f>
        <v>REA</v>
      </c>
      <c r="C34" t="str">
        <f>planning_general!$A$4</f>
        <v>Atelier Services et prestations sociales</v>
      </c>
    </row>
    <row r="35" spans="1:3" x14ac:dyDescent="0.35">
      <c r="A35" t="str">
        <f>planning_general!C29</f>
        <v>REA</v>
      </c>
      <c r="B35" t="str">
        <f>planning_general!$B$24</f>
        <v>REA</v>
      </c>
      <c r="C35" t="str">
        <f>planning_general!$A$4</f>
        <v>Atelier Services et prestations sociales</v>
      </c>
    </row>
    <row r="36" spans="1:3" x14ac:dyDescent="0.35">
      <c r="A36" t="str">
        <f>planning_general!C30</f>
        <v>REA</v>
      </c>
      <c r="B36" t="str">
        <f>planning_general!$B$24</f>
        <v>REA</v>
      </c>
      <c r="C36" t="str">
        <f>planning_general!$A$4</f>
        <v>Atelier Services et prestations sociales</v>
      </c>
    </row>
    <row r="37" spans="1:3" x14ac:dyDescent="0.35">
      <c r="A37" t="str">
        <f>planning_general!C31</f>
        <v>REA</v>
      </c>
      <c r="B37" t="str">
        <f>planning_general!$B$24</f>
        <v>REA</v>
      </c>
      <c r="C37" t="str">
        <f>planning_general!$A$4</f>
        <v>Atelier Services et prestations sociales</v>
      </c>
    </row>
    <row r="38" spans="1:3" x14ac:dyDescent="0.35">
      <c r="A38" t="str">
        <f>planning_general!C32</f>
        <v>REA</v>
      </c>
      <c r="B38" t="str">
        <f>planning_general!$B$24</f>
        <v>REA</v>
      </c>
      <c r="C38" t="str">
        <f>planning_general!$A$4</f>
        <v>Atelier Services et prestations sociales</v>
      </c>
    </row>
    <row r="39" spans="1:3" x14ac:dyDescent="0.35">
      <c r="A39" t="str">
        <f>planning_general!C33</f>
        <v>REA</v>
      </c>
      <c r="B39" t="str">
        <f>planning_general!$B$24</f>
        <v>REA</v>
      </c>
      <c r="C39" t="str">
        <f>planning_general!$A$4</f>
        <v>Atelier Services et prestations sociales</v>
      </c>
    </row>
    <row r="41" spans="1:3" ht="20.399999999999999" thickBot="1" x14ac:dyDescent="0.45">
      <c r="A41" s="12" t="s">
        <v>29</v>
      </c>
      <c r="B41" s="12" t="s">
        <v>18</v>
      </c>
      <c r="C41" s="12" t="s">
        <v>19</v>
      </c>
    </row>
    <row r="42" spans="1:3" ht="15" thickTop="1" x14ac:dyDescent="0.35">
      <c r="A42" t="str">
        <f>planning_general!C34</f>
        <v>Cuisine</v>
      </c>
      <c r="B42" t="str">
        <f>planning_general!$B$34</f>
        <v>Cuisine</v>
      </c>
      <c r="C42" t="str">
        <f>planning_general!$A$34</f>
        <v>Atelier Grain de Sel</v>
      </c>
    </row>
    <row r="43" spans="1:3" x14ac:dyDescent="0.35">
      <c r="A43" t="str">
        <f>planning_general!C35</f>
        <v>Cuisine</v>
      </c>
      <c r="B43" t="str">
        <f>planning_general!$B$34</f>
        <v>Cuisine</v>
      </c>
      <c r="C43" t="str">
        <f>planning_general!$A$34</f>
        <v>Atelier Grain de Sel</v>
      </c>
    </row>
    <row r="44" spans="1:3" x14ac:dyDescent="0.35">
      <c r="A44" t="str">
        <f>planning_general!C36</f>
        <v>Cuisine</v>
      </c>
      <c r="B44" t="str">
        <f>planning_general!$B$34</f>
        <v>Cuisine</v>
      </c>
      <c r="C44" t="str">
        <f>planning_general!$A$34</f>
        <v>Atelier Grain de Sel</v>
      </c>
    </row>
    <row r="45" spans="1:3" x14ac:dyDescent="0.35">
      <c r="A45" t="str">
        <f>planning_general!C37</f>
        <v>Cuisine</v>
      </c>
      <c r="B45" t="str">
        <f>planning_general!$B$34</f>
        <v>Cuisine</v>
      </c>
      <c r="C45" t="str">
        <f>planning_general!$A$34</f>
        <v>Atelier Grain de Sel</v>
      </c>
    </row>
    <row r="46" spans="1:3" x14ac:dyDescent="0.35">
      <c r="A46" t="str">
        <f>planning_general!C38</f>
        <v>Cuisine</v>
      </c>
      <c r="B46" t="str">
        <f>planning_general!$B$34</f>
        <v>Cuisine</v>
      </c>
      <c r="C46" t="str">
        <f>planning_general!$A$34</f>
        <v>Atelier Grain de Sel</v>
      </c>
    </row>
    <row r="47" spans="1:3" x14ac:dyDescent="0.35">
      <c r="A47" t="str">
        <f>planning_general!C39</f>
        <v>Cuisine</v>
      </c>
      <c r="B47" t="str">
        <f>planning_general!$B$34</f>
        <v>Cuisine</v>
      </c>
      <c r="C47" t="str">
        <f>planning_general!$A$34</f>
        <v>Atelier Grain de Sel</v>
      </c>
    </row>
    <row r="48" spans="1:3" x14ac:dyDescent="0.35">
      <c r="A48" t="str">
        <f>planning_general!C40</f>
        <v>Cuisine</v>
      </c>
      <c r="B48" t="str">
        <f>planning_general!$B$34</f>
        <v>Cuisine</v>
      </c>
      <c r="C48" t="str">
        <f>planning_general!$A$34</f>
        <v>Atelier Grain de Sel</v>
      </c>
    </row>
    <row r="49" spans="1:3" x14ac:dyDescent="0.35">
      <c r="A49" t="str">
        <f>planning_general!C41</f>
        <v>Cuisine</v>
      </c>
      <c r="B49" t="str">
        <f>planning_general!$B$34</f>
        <v>Cuisine</v>
      </c>
      <c r="C49" t="str">
        <f>planning_general!$A$34</f>
        <v>Atelier Grain de Sel</v>
      </c>
    </row>
    <row r="50" spans="1:3" x14ac:dyDescent="0.35">
      <c r="A50" t="str">
        <f>planning_general!C42</f>
        <v>Cuisine</v>
      </c>
      <c r="B50" t="str">
        <f>planning_general!$B$34</f>
        <v>Cuisine</v>
      </c>
      <c r="C50" t="str">
        <f>planning_general!$A$34</f>
        <v>Atelier Grain de Sel</v>
      </c>
    </row>
    <row r="51" spans="1:3" x14ac:dyDescent="0.35">
      <c r="A51" t="str">
        <f>planning_general!C43</f>
        <v>Cuisine</v>
      </c>
      <c r="B51" t="str">
        <f>planning_general!$B$34</f>
        <v>Cuisine</v>
      </c>
      <c r="C51" t="str">
        <f>planning_general!$A$34</f>
        <v>Atelier Grain de Sel</v>
      </c>
    </row>
    <row r="52" spans="1:3" x14ac:dyDescent="0.35">
      <c r="A52" t="str">
        <f>planning_general!C44</f>
        <v>Cuisine</v>
      </c>
      <c r="B52" t="str">
        <f>planning_general!$B$34</f>
        <v>Cuisine</v>
      </c>
      <c r="C52" t="str">
        <f>planning_general!$A$34</f>
        <v>Atelier Grain de Sel</v>
      </c>
    </row>
    <row r="53" spans="1:3" x14ac:dyDescent="0.35">
      <c r="A53" t="str">
        <f>planning_general!C45</f>
        <v>Cuisine</v>
      </c>
      <c r="B53" t="str">
        <f>planning_general!$B$34</f>
        <v>Cuisine</v>
      </c>
      <c r="C53" t="str">
        <f>planning_general!$A$34</f>
        <v>Atelier Grain de Sel</v>
      </c>
    </row>
    <row r="54" spans="1:3" x14ac:dyDescent="0.35">
      <c r="A54" t="str">
        <f>planning_general!C46</f>
        <v>Cuisine</v>
      </c>
      <c r="B54" t="str">
        <f>planning_general!$B$34</f>
        <v>Cuisine</v>
      </c>
      <c r="C54" t="str">
        <f>planning_general!$A$34</f>
        <v>Atelier Grain de Sel</v>
      </c>
    </row>
    <row r="55" spans="1:3" x14ac:dyDescent="0.35">
      <c r="A55" t="str">
        <f>planning_general!C47</f>
        <v>Cuisine</v>
      </c>
      <c r="B55" t="str">
        <f>planning_general!$B$34</f>
        <v>Cuisine</v>
      </c>
      <c r="C55" t="str">
        <f>planning_general!$A$34</f>
        <v>Atelier Grain de Sel</v>
      </c>
    </row>
    <row r="56" spans="1:3" x14ac:dyDescent="0.35">
      <c r="A56" t="str">
        <f>planning_general!C48</f>
        <v>Cuisine</v>
      </c>
      <c r="B56" t="str">
        <f>planning_general!$B$34</f>
        <v>Cuisine</v>
      </c>
      <c r="C56" t="str">
        <f>planning_general!$A$34</f>
        <v>Atelier Grain de Sel</v>
      </c>
    </row>
    <row r="57" spans="1:3" x14ac:dyDescent="0.35">
      <c r="A57" t="str">
        <f>planning_general!C49</f>
        <v>Cuisine</v>
      </c>
      <c r="B57" t="str">
        <f>planning_general!$B$34</f>
        <v>Cuisine</v>
      </c>
      <c r="C57" t="str">
        <f>planning_general!$A$34</f>
        <v>Atelier Grain de Sel</v>
      </c>
    </row>
    <row r="58" spans="1:3" x14ac:dyDescent="0.35">
      <c r="A58" t="str">
        <f>planning_general!C50</f>
        <v>Cuisine</v>
      </c>
      <c r="B58" t="str">
        <f>planning_general!$B$34</f>
        <v>Cuisine</v>
      </c>
      <c r="C58" t="str">
        <f>planning_general!$A$34</f>
        <v>Atelier Grain de Sel</v>
      </c>
    </row>
    <row r="59" spans="1:3" x14ac:dyDescent="0.35">
      <c r="A59" t="str">
        <f>planning_general!C51</f>
        <v>Cuisine</v>
      </c>
      <c r="B59" t="str">
        <f>planning_general!$B$34</f>
        <v>Cuisine</v>
      </c>
      <c r="C59" t="str">
        <f>planning_general!$A$34</f>
        <v>Atelier Grain de Sel</v>
      </c>
    </row>
    <row r="60" spans="1:3" x14ac:dyDescent="0.35">
      <c r="A60" t="str">
        <f>planning_general!C52</f>
        <v>Cuisine</v>
      </c>
      <c r="B60" t="str">
        <f>planning_general!$B$34</f>
        <v>Cuisine</v>
      </c>
      <c r="C60" t="str">
        <f>planning_general!$A$34</f>
        <v>Atelier Grain de Sel</v>
      </c>
    </row>
    <row r="61" spans="1:3" x14ac:dyDescent="0.35">
      <c r="A61" t="str">
        <f>planning_general!C53</f>
        <v>Cuisine</v>
      </c>
      <c r="B61" t="str">
        <f>planning_general!$B$34</f>
        <v>Cuisine</v>
      </c>
      <c r="C61" t="str">
        <f>planning_general!$A$34</f>
        <v>Atelier Grain de Sel</v>
      </c>
    </row>
    <row r="62" spans="1:3" x14ac:dyDescent="0.35">
      <c r="A62" t="str">
        <f>planning_general!C54</f>
        <v>Cuisine</v>
      </c>
      <c r="B62" t="str">
        <f>planning_general!$B$34</f>
        <v>Cuisine</v>
      </c>
      <c r="C62" t="str">
        <f>planning_general!$A$34</f>
        <v>Atelier Grain de Sel</v>
      </c>
    </row>
    <row r="63" spans="1:3" x14ac:dyDescent="0.35">
      <c r="A63" t="str">
        <f>planning_general!C55</f>
        <v>Cuisine</v>
      </c>
      <c r="B63" t="str">
        <f>planning_general!$B$34</f>
        <v>Cuisine</v>
      </c>
      <c r="C63" t="str">
        <f>planning_general!$A$34</f>
        <v>Atelier Grain de Sel</v>
      </c>
    </row>
    <row r="64" spans="1:3" x14ac:dyDescent="0.35">
      <c r="A64" t="str">
        <f>planning_general!C56</f>
        <v>Cuisine</v>
      </c>
      <c r="B64" t="str">
        <f>planning_general!$B$34</f>
        <v>Cuisine</v>
      </c>
      <c r="C64" t="str">
        <f>planning_general!$A$34</f>
        <v>Atelier Grain de Sel</v>
      </c>
    </row>
    <row r="65" spans="1:3" x14ac:dyDescent="0.35">
      <c r="A65" t="str">
        <f>planning_general!C57</f>
        <v>Cuisine</v>
      </c>
      <c r="B65" t="str">
        <f>planning_general!$B$34</f>
        <v>Cuisine</v>
      </c>
      <c r="C65" t="str">
        <f>planning_general!$A$34</f>
        <v>Atelier Grain de Sel</v>
      </c>
    </row>
    <row r="66" spans="1:3" x14ac:dyDescent="0.35">
      <c r="A66" t="str">
        <f>planning_general!C58</f>
        <v>Cuisine</v>
      </c>
      <c r="B66" t="str">
        <f>planning_general!$B$34</f>
        <v>Cuisine</v>
      </c>
      <c r="C66" t="str">
        <f>planning_general!$A$34</f>
        <v>Atelier Grain de Sel</v>
      </c>
    </row>
    <row r="67" spans="1:3" x14ac:dyDescent="0.35">
      <c r="A67" t="str">
        <f>planning_general!C59</f>
        <v>Cuisine</v>
      </c>
      <c r="B67" t="str">
        <f>planning_general!$B$34</f>
        <v>Cuisine</v>
      </c>
      <c r="C67" t="str">
        <f>planning_general!$A$34</f>
        <v>Atelier Grain de Sel</v>
      </c>
    </row>
    <row r="68" spans="1:3" x14ac:dyDescent="0.35">
      <c r="A68" t="str">
        <f>planning_general!C60</f>
        <v>Cuisine</v>
      </c>
      <c r="B68" t="str">
        <f>planning_general!$B$34</f>
        <v>Cuisine</v>
      </c>
      <c r="C68" t="str">
        <f>planning_general!$A$34</f>
        <v>Atelier Grain de Sel</v>
      </c>
    </row>
    <row r="69" spans="1:3" x14ac:dyDescent="0.35">
      <c r="A69" t="str">
        <f>planning_general!C61</f>
        <v>Cuisine</v>
      </c>
      <c r="B69" t="str">
        <f>planning_general!$B$34</f>
        <v>Cuisine</v>
      </c>
      <c r="C69" t="str">
        <f>planning_general!$A$34</f>
        <v>Atelier Grain de Sel</v>
      </c>
    </row>
    <row r="70" spans="1:3" x14ac:dyDescent="0.35">
      <c r="A70" t="str">
        <f>planning_general!C62</f>
        <v>Cuisine</v>
      </c>
      <c r="B70" t="str">
        <f>planning_general!$B$34</f>
        <v>Cuisine</v>
      </c>
      <c r="C70" t="str">
        <f>planning_general!$A$34</f>
        <v>Atelier Grain de Sel</v>
      </c>
    </row>
    <row r="71" spans="1:3" x14ac:dyDescent="0.35">
      <c r="A71" t="str">
        <f>planning_general!C63</f>
        <v>Cuisine</v>
      </c>
      <c r="B71" t="str">
        <f>planning_general!$B$34</f>
        <v>Cuisine</v>
      </c>
      <c r="C71" t="str">
        <f>planning_general!$A$34</f>
        <v>Atelier Grain de Sel</v>
      </c>
    </row>
    <row r="72" spans="1:3" x14ac:dyDescent="0.35">
      <c r="A72" t="str">
        <f>planning_general!C64</f>
        <v>Cuisine</v>
      </c>
      <c r="B72" t="str">
        <f>planning_general!$B$34</f>
        <v>Cuisine</v>
      </c>
      <c r="C72" t="str">
        <f>planning_general!$A$34</f>
        <v>Atelier Grain de Sel</v>
      </c>
    </row>
    <row r="73" spans="1:3" x14ac:dyDescent="0.35">
      <c r="A73" t="str">
        <f>planning_general!C65</f>
        <v>Cafeteria</v>
      </c>
      <c r="B73" t="str">
        <f>planning_general!$C$65</f>
        <v>Cafeteria</v>
      </c>
      <c r="C73" t="str">
        <f>planning_general!$A$34</f>
        <v>Atelier Grain de Sel</v>
      </c>
    </row>
    <row r="74" spans="1:3" x14ac:dyDescent="0.35">
      <c r="A74" t="str">
        <f>planning_general!C66</f>
        <v>Cafeteria</v>
      </c>
      <c r="B74" t="str">
        <f>planning_general!$C$65</f>
        <v>Cafeteria</v>
      </c>
      <c r="C74" t="str">
        <f>planning_general!$A$34</f>
        <v>Atelier Grain de Sel</v>
      </c>
    </row>
    <row r="75" spans="1:3" x14ac:dyDescent="0.35">
      <c r="A75" t="str">
        <f>planning_general!C67</f>
        <v>Cafeteria</v>
      </c>
      <c r="B75" t="str">
        <f>planning_general!$C$65</f>
        <v>Cafeteria</v>
      </c>
      <c r="C75" t="str">
        <f>planning_general!$A$34</f>
        <v>Atelier Grain de Sel</v>
      </c>
    </row>
    <row r="76" spans="1:3" x14ac:dyDescent="0.35">
      <c r="A76" t="str">
        <f>planning_general!C68</f>
        <v>Cafeteria</v>
      </c>
      <c r="B76" t="str">
        <f>planning_general!$C$65</f>
        <v>Cafeteria</v>
      </c>
      <c r="C76" t="str">
        <f>planning_general!$A$34</f>
        <v>Atelier Grain de Sel</v>
      </c>
    </row>
    <row r="77" spans="1:3" x14ac:dyDescent="0.35">
      <c r="A77" t="str">
        <f>planning_general!C69</f>
        <v>Cafeteria</v>
      </c>
      <c r="B77" t="str">
        <f>planning_general!$C$65</f>
        <v>Cafeteria</v>
      </c>
      <c r="C77" t="str">
        <f>planning_general!$A$34</f>
        <v>Atelier Grain de Sel</v>
      </c>
    </row>
    <row r="78" spans="1:3" x14ac:dyDescent="0.35">
      <c r="A78" t="str">
        <f>planning_general!C70</f>
        <v>Cafeteria</v>
      </c>
      <c r="B78" t="str">
        <f>planning_general!$C$65</f>
        <v>Cafeteria</v>
      </c>
      <c r="C78" t="str">
        <f>planning_general!$A$34</f>
        <v>Atelier Grain de Sel</v>
      </c>
    </row>
    <row r="79" spans="1:3" x14ac:dyDescent="0.35">
      <c r="A79" t="str">
        <f>planning_general!C71</f>
        <v>Cafeteria</v>
      </c>
      <c r="B79" t="str">
        <f>planning_general!$C$65</f>
        <v>Cafeteria</v>
      </c>
      <c r="C79" t="str">
        <f>planning_general!$A$34</f>
        <v>Atelier Grain de Sel</v>
      </c>
    </row>
    <row r="80" spans="1:3" x14ac:dyDescent="0.35">
      <c r="A80" t="str">
        <f>planning_general!C72</f>
        <v>Cafeteria</v>
      </c>
      <c r="B80" t="str">
        <f>planning_general!$C$65</f>
        <v>Cafeteria</v>
      </c>
      <c r="C80" t="str">
        <f>planning_general!$A$34</f>
        <v>Atelier Grain de Sel</v>
      </c>
    </row>
    <row r="81" spans="1:3" x14ac:dyDescent="0.35">
      <c r="A81" t="str">
        <f>planning_general!C73</f>
        <v>Cafeteria</v>
      </c>
      <c r="B81" t="str">
        <f>planning_general!$C$65</f>
        <v>Cafeteria</v>
      </c>
      <c r="C81" t="str">
        <f>planning_general!$A$34</f>
        <v>Atelier Grain de Sel</v>
      </c>
    </row>
    <row r="82" spans="1:3" x14ac:dyDescent="0.35">
      <c r="A82" t="str">
        <f>planning_general!C74</f>
        <v>Cafeteria</v>
      </c>
      <c r="B82" t="str">
        <f>planning_general!$C$65</f>
        <v>Cafeteria</v>
      </c>
      <c r="C82" t="str">
        <f>planning_general!$A$34</f>
        <v>Atelier Grain de Sel</v>
      </c>
    </row>
    <row r="84" spans="1:3" ht="20.399999999999999" thickBot="1" x14ac:dyDescent="0.45">
      <c r="A84" s="12" t="s">
        <v>29</v>
      </c>
      <c r="B84" s="12" t="s">
        <v>18</v>
      </c>
      <c r="C84" s="12" t="s">
        <v>19</v>
      </c>
    </row>
    <row r="85" spans="1:3" ht="15" thickTop="1" x14ac:dyDescent="0.35">
      <c r="A85" t="str">
        <f>planning_general!C75</f>
        <v>Production</v>
      </c>
      <c r="B85" t="str">
        <f>planning_general!$B$75</f>
        <v>Production</v>
      </c>
      <c r="C85" t="str">
        <f>planning_general!$A$75</f>
        <v>Atelier général</v>
      </c>
    </row>
    <row r="86" spans="1:3" x14ac:dyDescent="0.35">
      <c r="A86" t="str">
        <f>planning_general!C76</f>
        <v>Production</v>
      </c>
      <c r="B86" t="str">
        <f>planning_general!$B$75</f>
        <v>Production</v>
      </c>
      <c r="C86" t="str">
        <f>planning_general!$A$75</f>
        <v>Atelier général</v>
      </c>
    </row>
    <row r="87" spans="1:3" x14ac:dyDescent="0.35">
      <c r="A87" t="str">
        <f>planning_general!C77</f>
        <v>Production</v>
      </c>
      <c r="B87" t="str">
        <f>planning_general!$B$75</f>
        <v>Production</v>
      </c>
      <c r="C87" t="str">
        <f>planning_general!$A$75</f>
        <v>Atelier général</v>
      </c>
    </row>
    <row r="88" spans="1:3" x14ac:dyDescent="0.35">
      <c r="A88" t="str">
        <f>planning_general!C78</f>
        <v>Production</v>
      </c>
      <c r="B88" t="str">
        <f>planning_general!$B$75</f>
        <v>Production</v>
      </c>
      <c r="C88" t="str">
        <f>planning_general!$A$75</f>
        <v>Atelier général</v>
      </c>
    </row>
    <row r="89" spans="1:3" x14ac:dyDescent="0.35">
      <c r="A89" t="str">
        <f>planning_general!C79</f>
        <v>Production</v>
      </c>
      <c r="B89" t="str">
        <f>planning_general!$B$75</f>
        <v>Production</v>
      </c>
      <c r="C89" t="str">
        <f>planning_general!$A$75</f>
        <v>Atelier général</v>
      </c>
    </row>
    <row r="90" spans="1:3" x14ac:dyDescent="0.35">
      <c r="A90" t="str">
        <f>planning_general!C80</f>
        <v>Production</v>
      </c>
      <c r="B90" t="str">
        <f>planning_general!$B$75</f>
        <v>Production</v>
      </c>
      <c r="C90" t="str">
        <f>planning_general!$A$75</f>
        <v>Atelier général</v>
      </c>
    </row>
    <row r="91" spans="1:3" x14ac:dyDescent="0.35">
      <c r="A91" t="str">
        <f>planning_general!C81</f>
        <v>Production</v>
      </c>
      <c r="B91" t="str">
        <f>planning_general!$B$75</f>
        <v>Production</v>
      </c>
      <c r="C91" t="str">
        <f>planning_general!$A$75</f>
        <v>Atelier général</v>
      </c>
    </row>
    <row r="92" spans="1:3" x14ac:dyDescent="0.35">
      <c r="A92" t="str">
        <f>planning_general!C82</f>
        <v>Production</v>
      </c>
      <c r="B92" t="str">
        <f>planning_general!$B$75</f>
        <v>Production</v>
      </c>
      <c r="C92" t="str">
        <f>planning_general!$A$75</f>
        <v>Atelier général</v>
      </c>
    </row>
    <row r="93" spans="1:3" x14ac:dyDescent="0.35">
      <c r="A93" t="str">
        <f>planning_general!C83</f>
        <v>Production</v>
      </c>
      <c r="B93" t="str">
        <f>planning_general!$B$75</f>
        <v>Production</v>
      </c>
      <c r="C93" t="str">
        <f>planning_general!$A$75</f>
        <v>Atelier général</v>
      </c>
    </row>
    <row r="94" spans="1:3" x14ac:dyDescent="0.35">
      <c r="A94" t="str">
        <f>planning_general!C84</f>
        <v>Production</v>
      </c>
      <c r="B94" t="str">
        <f>planning_general!$B$75</f>
        <v>Production</v>
      </c>
      <c r="C94" t="str">
        <f>planning_general!$A$75</f>
        <v>Atelier général</v>
      </c>
    </row>
    <row r="95" spans="1:3" x14ac:dyDescent="0.35">
      <c r="A95" t="str">
        <f>planning_general!C85</f>
        <v>Production</v>
      </c>
      <c r="B95" t="str">
        <f>planning_general!$B$75</f>
        <v>Production</v>
      </c>
      <c r="C95" t="str">
        <f>planning_general!$A$75</f>
        <v>Atelier général</v>
      </c>
    </row>
    <row r="96" spans="1:3" x14ac:dyDescent="0.35">
      <c r="A96" t="str">
        <f>planning_general!C86</f>
        <v>Production</v>
      </c>
      <c r="B96" t="str">
        <f>planning_general!$B$75</f>
        <v>Production</v>
      </c>
      <c r="C96" t="str">
        <f>planning_general!$A$75</f>
        <v>Atelier général</v>
      </c>
    </row>
    <row r="97" spans="1:3" x14ac:dyDescent="0.35">
      <c r="A97" t="str">
        <f>planning_general!C87</f>
        <v>Production</v>
      </c>
      <c r="B97" t="str">
        <f>planning_general!$B$75</f>
        <v>Production</v>
      </c>
      <c r="C97" t="str">
        <f>planning_general!$A$75</f>
        <v>Atelier général</v>
      </c>
    </row>
    <row r="98" spans="1:3" x14ac:dyDescent="0.35">
      <c r="A98" t="str">
        <f>planning_general!C88</f>
        <v>Production</v>
      </c>
      <c r="B98" t="str">
        <f>planning_general!$B$75</f>
        <v>Production</v>
      </c>
      <c r="C98" t="str">
        <f>planning_general!$A$75</f>
        <v>Atelier général</v>
      </c>
    </row>
    <row r="99" spans="1:3" x14ac:dyDescent="0.35">
      <c r="A99" t="str">
        <f>planning_general!C89</f>
        <v>Production</v>
      </c>
      <c r="B99" t="str">
        <f>planning_general!$B$75</f>
        <v>Production</v>
      </c>
      <c r="C99" t="str">
        <f>planning_general!$A$75</f>
        <v>Atelier général</v>
      </c>
    </row>
    <row r="100" spans="1:3" x14ac:dyDescent="0.35">
      <c r="A100" t="str">
        <f>planning_general!C90</f>
        <v>Production</v>
      </c>
      <c r="B100" t="str">
        <f>planning_general!$B$75</f>
        <v>Production</v>
      </c>
      <c r="C100" t="str">
        <f>planning_general!$A$75</f>
        <v>Atelier général</v>
      </c>
    </row>
    <row r="101" spans="1:3" x14ac:dyDescent="0.35">
      <c r="A101" t="str">
        <f>planning_general!C91</f>
        <v>Production</v>
      </c>
      <c r="B101" t="str">
        <f>planning_general!$B$75</f>
        <v>Production</v>
      </c>
      <c r="C101" t="str">
        <f>planning_general!$A$75</f>
        <v>Atelier général</v>
      </c>
    </row>
    <row r="102" spans="1:3" x14ac:dyDescent="0.35">
      <c r="A102" t="str">
        <f>planning_general!C92</f>
        <v>Production</v>
      </c>
      <c r="B102" t="str">
        <f>planning_general!$B$75</f>
        <v>Production</v>
      </c>
      <c r="C102" t="str">
        <f>planning_general!$A$75</f>
        <v>Atelier général</v>
      </c>
    </row>
    <row r="103" spans="1:3" x14ac:dyDescent="0.35">
      <c r="A103" t="str">
        <f>planning_general!C93</f>
        <v>Production</v>
      </c>
      <c r="B103" t="str">
        <f>planning_general!$B$75</f>
        <v>Production</v>
      </c>
      <c r="C103" t="str">
        <f>planning_general!$A$75</f>
        <v>Atelier général</v>
      </c>
    </row>
    <row r="104" spans="1:3" x14ac:dyDescent="0.35">
      <c r="A104" t="str">
        <f>planning_general!C94</f>
        <v>Production</v>
      </c>
      <c r="B104" t="str">
        <f>planning_general!$B$75</f>
        <v>Production</v>
      </c>
      <c r="C104" t="str">
        <f>planning_general!$A$75</f>
        <v>Atelier général</v>
      </c>
    </row>
    <row r="105" spans="1:3" x14ac:dyDescent="0.35">
      <c r="A105" t="str">
        <f>planning_general!C95</f>
        <v>Entretien</v>
      </c>
      <c r="B105" t="str">
        <f>planning_general!$B$95</f>
        <v>Entretien</v>
      </c>
      <c r="C105" t="str">
        <f>planning_general!$A$75</f>
        <v>Atelier général</v>
      </c>
    </row>
    <row r="106" spans="1:3" x14ac:dyDescent="0.35">
      <c r="A106" t="str">
        <f>planning_general!C96</f>
        <v>Entretien</v>
      </c>
      <c r="B106" t="str">
        <f>planning_general!$B$95</f>
        <v>Entretien</v>
      </c>
      <c r="C106" t="str">
        <f>planning_general!$A$75</f>
        <v>Atelier général</v>
      </c>
    </row>
    <row r="107" spans="1:3" x14ac:dyDescent="0.35">
      <c r="A107" t="str">
        <f>planning_general!C97</f>
        <v>Entretien</v>
      </c>
      <c r="B107" t="str">
        <f>planning_general!$B$95</f>
        <v>Entretien</v>
      </c>
      <c r="C107" t="str">
        <f>planning_general!$A$75</f>
        <v>Atelier général</v>
      </c>
    </row>
    <row r="108" spans="1:3" x14ac:dyDescent="0.35">
      <c r="A108" t="str">
        <f>planning_general!C98</f>
        <v>Entretien</v>
      </c>
      <c r="B108" t="str">
        <f>planning_general!$B$95</f>
        <v>Entretien</v>
      </c>
      <c r="C108" t="str">
        <f>planning_general!$A$75</f>
        <v>Atelier général</v>
      </c>
    </row>
    <row r="109" spans="1:3" x14ac:dyDescent="0.35">
      <c r="A109" t="str">
        <f>planning_general!C99</f>
        <v>Entretien</v>
      </c>
      <c r="B109" t="str">
        <f>planning_general!$B$95</f>
        <v>Entretien</v>
      </c>
      <c r="C109" t="str">
        <f>planning_general!$A$75</f>
        <v>Atelier général</v>
      </c>
    </row>
    <row r="110" spans="1:3" x14ac:dyDescent="0.35">
      <c r="A110" t="str">
        <f>planning_general!C100</f>
        <v>Entretien</v>
      </c>
      <c r="B110" t="str">
        <f>planning_general!$B$95</f>
        <v>Entretien</v>
      </c>
      <c r="C110" t="str">
        <f>planning_general!$A$75</f>
        <v>Atelier général</v>
      </c>
    </row>
    <row r="111" spans="1:3" x14ac:dyDescent="0.35">
      <c r="A111" t="str">
        <f>planning_general!C101</f>
        <v>Entretien</v>
      </c>
      <c r="B111" t="str">
        <f>planning_general!$B$95</f>
        <v>Entretien</v>
      </c>
      <c r="C111" t="str">
        <f>planning_general!$A$75</f>
        <v>Atelier général</v>
      </c>
    </row>
    <row r="112" spans="1:3" x14ac:dyDescent="0.35">
      <c r="A112" t="str">
        <f>planning_general!C102</f>
        <v>Entretien</v>
      </c>
      <c r="B112" t="str">
        <f>planning_general!$B$95</f>
        <v>Entretien</v>
      </c>
      <c r="C112" t="str">
        <f>planning_general!$A$75</f>
        <v>Atelier général</v>
      </c>
    </row>
    <row r="113" spans="1:3" x14ac:dyDescent="0.35">
      <c r="A113" t="str">
        <f>planning_general!C103</f>
        <v>Entretien</v>
      </c>
      <c r="B113" t="str">
        <f>planning_general!$B$95</f>
        <v>Entretien</v>
      </c>
      <c r="C113" t="str">
        <f>planning_general!$A$75</f>
        <v>Atelier général</v>
      </c>
    </row>
    <row r="114" spans="1:3" x14ac:dyDescent="0.35">
      <c r="A114" t="str">
        <f>planning_general!C104</f>
        <v>Entretien</v>
      </c>
      <c r="B114" t="str">
        <f>planning_general!$B$95</f>
        <v>Entretien</v>
      </c>
      <c r="C114" t="str">
        <f>planning_general!$A$75</f>
        <v>Atelier général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2C61600409D9498B93AB1D3619AACC" ma:contentTypeVersion="6" ma:contentTypeDescription="Crée un document." ma:contentTypeScope="" ma:versionID="3d887940e2bf23695b6bbd26236f0889">
  <xsd:schema xmlns:xsd="http://www.w3.org/2001/XMLSchema" xmlns:xs="http://www.w3.org/2001/XMLSchema" xmlns:p="http://schemas.microsoft.com/office/2006/metadata/properties" xmlns:ns2="2b563e1c-2151-4c63-8560-dcfee8bc521a" targetNamespace="http://schemas.microsoft.com/office/2006/metadata/properties" ma:root="true" ma:fieldsID="be3b76f3ab95753b7545edd28e10cbd1" ns2:_="">
    <xsd:import namespace="2b563e1c-2151-4c63-8560-dcfee8bc521a"/>
    <xsd:element name="properties">
      <xsd:complexType>
        <xsd:sequence>
          <xsd:element name="documentManagement">
            <xsd:complexType>
              <xsd:all>
                <xsd:element ref="ns2:Type_x0020_de_x0020_mod_x00e8_le"/>
                <xsd:element ref="ns2:Application" minOccurs="0"/>
                <xsd:element ref="ns2:tes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563e1c-2151-4c63-8560-dcfee8bc521a" elementFormDefault="qualified">
    <xsd:import namespace="http://schemas.microsoft.com/office/2006/documentManagement/types"/>
    <xsd:import namespace="http://schemas.microsoft.com/office/infopath/2007/PartnerControls"/>
    <xsd:element name="Type_x0020_de_x0020_mod_x00e8_le" ma:index="8" ma:displayName="Type de modèle" ma:format="Dropdown" ma:internalName="Type_x0020_de_x0020_mod_x00e8_le">
      <xsd:simpleType>
        <xsd:restriction base="dms:Choice">
          <xsd:enumeration value="Logos"/>
          <xsd:enumeration value="Office"/>
        </xsd:restriction>
      </xsd:simpleType>
    </xsd:element>
    <xsd:element name="Application" ma:index="9" nillable="true" ma:displayName="Application" ma:format="Dropdown" ma:internalName="Application">
      <xsd:simpleType>
        <xsd:restriction base="dms:Choice">
          <xsd:enumeration value="Word"/>
          <xsd:enumeration value="Excel"/>
          <xsd:enumeration value="PowerPoint"/>
        </xsd:restriction>
      </xsd:simpleType>
    </xsd:element>
    <xsd:element name="test" ma:index="10" nillable="true" ma:displayName="test" ma:internalName="test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ype_x0020_de_x0020_mod_x00e8_le xmlns="2b563e1c-2151-4c63-8560-dcfee8bc521a">Office</Type_x0020_de_x0020_mod_x00e8_le>
    <Application xmlns="2b563e1c-2151-4c63-8560-dcfee8bc521a">Excel</Application>
    <test xmlns="2b563e1c-2151-4c63-8560-dcfee8bc521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6EFA9E0-2CE8-45D9-ABA2-711BB9613D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563e1c-2151-4c63-8560-dcfee8bc52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1115E6-61CF-4CB0-851B-14E8706A22DB}">
  <ds:schemaRefs>
    <ds:schemaRef ds:uri="http://www.w3.org/XML/1998/namespace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2b563e1c-2151-4c63-8560-dcfee8bc521a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46C18C42-48EB-4168-A70D-740C0005DF5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21</vt:i4>
      </vt:variant>
    </vt:vector>
  </HeadingPairs>
  <TitlesOfParts>
    <vt:vector size="26" baseType="lpstr">
      <vt:lpstr>planning_general</vt:lpstr>
      <vt:lpstr>planning beneficiaires</vt:lpstr>
      <vt:lpstr>places disponibles</vt:lpstr>
      <vt:lpstr>beneficiaires</vt:lpstr>
      <vt:lpstr>Cstes</vt:lpstr>
      <vt:lpstr>ateliers1</vt:lpstr>
      <vt:lpstr>ateliers2</vt:lpstr>
      <vt:lpstr>ateliers3</vt:lpstr>
      <vt:lpstr>couleur1</vt:lpstr>
      <vt:lpstr>couleur2</vt:lpstr>
      <vt:lpstr>couleur3</vt:lpstr>
      <vt:lpstr>horaire1</vt:lpstr>
      <vt:lpstr>horaire2</vt:lpstr>
      <vt:lpstr>horaire3</vt:lpstr>
      <vt:lpstr>horaire4</vt:lpstr>
      <vt:lpstr>lst_beneficiaires</vt:lpstr>
      <vt:lpstr>planning_general</vt:lpstr>
      <vt:lpstr>references</vt:lpstr>
      <vt:lpstr>referents</vt:lpstr>
      <vt:lpstr>beneficiaires!Zone_d_impression</vt:lpstr>
      <vt:lpstr>'planning beneficiaires'!Zone_d_impression</vt:lpstr>
      <vt:lpstr>planning_general!Zone_d_impression</vt:lpstr>
      <vt:lpstr>zone1</vt:lpstr>
      <vt:lpstr>zone2</vt:lpstr>
      <vt:lpstr>zone3</vt:lpstr>
      <vt:lpstr>zonejours</vt:lpstr>
    </vt:vector>
  </TitlesOfParts>
  <Manager>Richard.Joray@graap.ch</Manager>
  <Company>Graap-Fondation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Planification des ateliers</dc:title>
  <dc:creator>Gilbert.Gruaz@graap.ch</dc:creator>
  <dc:description>Classeur Excel utilisé pour la planification des ateliers et des bénéficiaires du graap.</dc:description>
  <cp:lastModifiedBy>Gilbert Gruaz</cp:lastModifiedBy>
  <cp:lastPrinted>2016-01-19T08:46:57Z</cp:lastPrinted>
  <dcterms:created xsi:type="dcterms:W3CDTF">2012-04-23T10:31:58Z</dcterms:created>
  <dcterms:modified xsi:type="dcterms:W3CDTF">2017-01-11T15:35:50Z</dcterms:modified>
  <cp:contentStatus>La Berge V1-1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0x0101000F2C61600409D9498B93AB1D3619AACC</vt:lpwstr>
  </property>
</Properties>
</file>