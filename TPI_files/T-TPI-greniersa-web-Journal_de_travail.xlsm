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Diagramme!$B$3:$B$12</definedName>
    <definedName name="lstTasks">Donnees!$C$20:$C$45</definedName>
    <definedName name="NbLessons">Diagramme!$C$3:$C$12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JNLTRAV!$A$1:$D$25</definedName>
    <definedName name="_xlnm.Print_Area" localSheetId="1">Diagramme!$A$1:$UP$15</definedName>
    <definedName name="_xlnm.Print_Area" localSheetId="0">Donnees!$A$1:$G$54</definedName>
    <definedName name="_xlnm.Print_Area" localSheetId="7">JNLTRAV!$A$1:$D$121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20" i="157" l="1"/>
  <c r="B101" i="157"/>
  <c r="B82" i="157"/>
  <c r="B63" i="157"/>
  <c r="B44" i="157"/>
  <c r="B24" i="157"/>
  <c r="B83" i="156" l="1"/>
  <c r="B69" i="156"/>
  <c r="B55" i="156"/>
  <c r="B27" i="156"/>
  <c r="B41" i="156" s="1"/>
  <c r="B13" i="156"/>
  <c r="B11" i="155"/>
  <c r="B9" i="155"/>
  <c r="B7" i="155"/>
  <c r="B5" i="155"/>
  <c r="C14" i="155"/>
  <c r="C13" i="155"/>
  <c r="B18" i="154" l="1"/>
  <c r="B13" i="11"/>
</calcChain>
</file>

<file path=xl/sharedStrings.xml><?xml version="1.0" encoding="utf-8"?>
<sst xmlns="http://schemas.openxmlformats.org/spreadsheetml/2006/main" count="266" uniqueCount="89">
  <si>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</si>
  <si>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</si>
  <si>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</si>
  <si>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</si>
  <si>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</si>
  <si>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</si>
  <si>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</si>
  <si>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</si>
  <si>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</si>
  <si>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</si>
  <si>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</si>
  <si>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</si>
  <si>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</si>
  <si>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</si>
  <si>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</si>
  <si>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</si>
  <si>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</si>
  <si>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</si>
  <si>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</si>
  <si>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</si>
  <si>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</si>
  <si>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</si>
  <si>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</si>
  <si>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</si>
  <si>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</si>
  <si>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Sacha Grenier</t>
  </si>
  <si>
    <t>CIN4B</t>
  </si>
  <si>
    <t>Lausanne, ETML</t>
  </si>
  <si>
    <t>Analyse</t>
  </si>
  <si>
    <t>Implémentation</t>
  </si>
  <si>
    <t>Tests</t>
  </si>
  <si>
    <t>Documentation</t>
  </si>
  <si>
    <t>S 1</t>
  </si>
  <si>
    <t>S 2</t>
  </si>
  <si>
    <t>S 3</t>
  </si>
  <si>
    <t>S 4</t>
  </si>
  <si>
    <t>S 5</t>
  </si>
  <si>
    <t>S 6</t>
  </si>
  <si>
    <t>Max. 93</t>
  </si>
  <si>
    <t>STOP</t>
  </si>
  <si>
    <t>Rendez-vous chez le dentiste pour opération</t>
  </si>
  <si>
    <t>Planification initiale</t>
  </si>
  <si>
    <t>Création de la planification</t>
  </si>
  <si>
    <t>Prise de connaissance du projet</t>
  </si>
  <si>
    <t>Journal de travail</t>
  </si>
  <si>
    <t>Creation de la structure du projet, création de la base de données</t>
  </si>
  <si>
    <t>Documentation des fonctionnalités ajoutées</t>
  </si>
  <si>
    <t>Test des fonctionnalitées ajoutées</t>
  </si>
  <si>
    <t>Tests finaux</t>
  </si>
  <si>
    <t>Fin de la documentation</t>
  </si>
  <si>
    <t>Développement</t>
  </si>
  <si>
    <t>Début du développement du projet</t>
  </si>
  <si>
    <t>Création de la maquette du site</t>
  </si>
  <si>
    <t>Création du script pour générer la base de données</t>
  </si>
  <si>
    <t>Implémentation de la partie analyse dans la documentation et sur la mise en place de l'environement</t>
  </si>
  <si>
    <t>Lundi de pentecôte</t>
  </si>
  <si>
    <t>Examen d'ECG - Mercredi après-midi</t>
  </si>
  <si>
    <t>Pont de L'Ascension</t>
  </si>
  <si>
    <t>Analyse du cahier de charges, recherches sur internet et analyse de la structure de la base de données (MCD MLD MPD)</t>
  </si>
  <si>
    <t>Développement du projet</t>
  </si>
  <si>
    <t>Analyse du cahier de charges, recherches sur internet et analyse de la structure de la base de données (basique)</t>
  </si>
  <si>
    <t>Création MCD MLD sous visio</t>
  </si>
  <si>
    <t>Création MPD sous excel</t>
  </si>
  <si>
    <t>Modification du MCD, MLD et MPD et implémentation dans le rapport de projet</t>
  </si>
  <si>
    <t>Lundi</t>
  </si>
  <si>
    <t>Analyse du cahier de charges</t>
  </si>
  <si>
    <t>Creation de la planification initiale</t>
  </si>
  <si>
    <t>Mercredi</t>
  </si>
  <si>
    <t>MCD crée à partir du jeudi, (LIEN GIT)</t>
  </si>
  <si>
    <t>Recherches sur internet (pdf, datatables, etc , -&gt; Mettre les liens</t>
  </si>
  <si>
    <t>Analyse de la structure de la base de données (basique). Pour ce faire, j'ai imprimé l'exemple donné par Mr.Gruaz et analysé les tables dont j'allais avoir besoin.</t>
  </si>
  <si>
    <t>Suite à l'analyse de l'exemple donné par Mr.Gruaz, j'ai voulu créer la maquette de la page principale du site</t>
  </si>
  <si>
    <t>Lien maquette</t>
  </si>
  <si>
    <t>Jeudi</t>
  </si>
  <si>
    <t>Suite de la maquette, où j'ai attaqué la deuxième page du site</t>
  </si>
  <si>
    <t>Journal de travail (mecredi et jeudi)</t>
  </si>
  <si>
    <t>Documents finalement réalisés à l'aide de l'outil jMerise, voir résultat ici : LIEN SCREEN MLD MCD</t>
  </si>
  <si>
    <t>Vendredi</t>
  </si>
  <si>
    <t>Implémentation de la partie analyse dans la documentation, nottament les maquettes avec une description détailée.</t>
  </si>
  <si>
    <t>Lien MPD</t>
  </si>
  <si>
    <t>Retard de 30 min à cause du rendez-vous chez l'orthodentiste (prévu)</t>
  </si>
  <si>
    <t>&gt; Convenu avec GGZ d'utiliser l'outil jMerise pour MCD-MLD-MPD.
&gt; Clarification du cahier de charges : Correction des maquettes faites : système de niveaux d'ateliers plutôt que de catégories =&gt; cohérence avec le classeur d'exemple excel
&gt; Correction de la base de données pour accueil les chefs d'ateliers ainsi que le pourcentage de travail pour les utilisateurs</t>
  </si>
  <si>
    <t>https://datatables.net/
https://wkhtmltopdf.org/</t>
  </si>
  <si>
    <t>Creation de la maquette pour la page "Travailleurs " sous visio</t>
  </si>
  <si>
    <t>Amélirations sur les maquettes : Ajout des systèmes de niveaux, fin de la page "travailleurs"</t>
  </si>
  <si>
    <t>Insertion des nouveaux MCD, MLD et MPD dans la documentation et ajout de commentaires</t>
  </si>
  <si>
    <t>Ajout des maquettes dans la documentation avec une description</t>
  </si>
  <si>
    <t>Création du dépôt GitHub</t>
  </si>
  <si>
    <t>Création planification détailée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</si>
</sst>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6" fillId="9" borderId="0" xfId="0" applyFont="1" applyFill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8" fillId="12" borderId="20" xfId="0" applyFont="1" applyFill="1" applyBorder="1" applyAlignment="1" applyProtection="1">
      <alignment horizontal="center" vertical="center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8" fillId="13" borderId="14" xfId="0" applyFont="1" applyFill="1" applyBorder="1" applyAlignment="1" applyProtection="1">
      <alignment horizontal="center" vertical="center"/>
    </xf>
    <xf numFmtId="0" fontId="8" fillId="13" borderId="12" xfId="0" applyFont="1" applyFill="1" applyBorder="1" applyAlignment="1" applyProtection="1">
      <alignment horizontal="center" vertical="center"/>
    </xf>
    <xf numFmtId="0" fontId="8" fillId="13" borderId="13" xfId="0" applyFont="1" applyFill="1" applyBorder="1" applyAlignment="1" applyProtection="1">
      <alignment horizontal="center" vertical="center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12" sqref="C1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0" t="s">
        <v>19</v>
      </c>
      <c r="C19" s="121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/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16"/>
  <sheetViews>
    <sheetView topLeftCell="C1" zoomScale="85" zoomScaleNormal="85" zoomScaleSheetLayoutView="55" zoomScalePageLayoutView="7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561" ht="13.5" thickBot="1" x14ac:dyDescent="0.25">
      <c r="B1" s="84"/>
      <c r="C1" s="84"/>
    </row>
    <row r="2" spans="1:561" ht="42.75" customHeight="1" thickBot="1" x14ac:dyDescent="0.25">
      <c r="A2" s="85"/>
      <c r="B2" s="45" t="s">
        <v>5</v>
      </c>
      <c r="C2" s="29" t="s">
        <v>18</v>
      </c>
      <c r="D2" s="122" t="s">
        <v>32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4"/>
      <c r="CS2" s="122" t="s">
        <v>33</v>
      </c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4"/>
      <c r="GH2" s="122" t="s">
        <v>34</v>
      </c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4"/>
      <c r="JW2" s="122" t="s">
        <v>35</v>
      </c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4"/>
      <c r="NL2" s="122" t="s">
        <v>36</v>
      </c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4"/>
      <c r="RA2" s="122" t="s">
        <v>37</v>
      </c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4"/>
    </row>
    <row r="3" spans="1:561" ht="19.5" customHeight="1" x14ac:dyDescent="0.2">
      <c r="A3" s="85"/>
      <c r="B3" s="127" t="s">
        <v>21</v>
      </c>
      <c r="C3" s="30">
        <v>103</v>
      </c>
      <c r="D3" s="108"/>
      <c r="E3" s="109"/>
      <c r="F3" s="110"/>
      <c r="G3" s="111"/>
      <c r="H3" s="109"/>
      <c r="I3" s="110"/>
      <c r="J3" s="111"/>
      <c r="K3" s="109"/>
      <c r="L3" s="110"/>
      <c r="M3" s="111"/>
      <c r="N3" s="109"/>
      <c r="O3" s="110"/>
      <c r="P3" s="111"/>
      <c r="Q3" s="109"/>
      <c r="R3" s="110"/>
      <c r="S3" s="111"/>
      <c r="T3" s="109"/>
      <c r="U3" s="110"/>
      <c r="V3" s="111"/>
      <c r="W3" s="109"/>
      <c r="X3" s="110"/>
      <c r="Y3" s="111"/>
      <c r="Z3" s="109"/>
      <c r="AA3" s="110"/>
      <c r="AB3" s="111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88"/>
      <c r="AN3" s="89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88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88"/>
      <c r="CP3" s="89"/>
      <c r="CQ3" s="87"/>
      <c r="CR3" s="90"/>
      <c r="CS3" s="86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88"/>
      <c r="DH3" s="89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88"/>
      <c r="GB3" s="89"/>
      <c r="GC3" s="87"/>
      <c r="GD3" s="88"/>
      <c r="GE3" s="89"/>
      <c r="GF3" s="87"/>
      <c r="GG3" s="90"/>
      <c r="GH3" s="86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88"/>
      <c r="HL3" s="89"/>
      <c r="HM3" s="87"/>
      <c r="HN3" s="88"/>
      <c r="HO3" s="89"/>
      <c r="HP3" s="87"/>
      <c r="HQ3" s="88"/>
      <c r="HR3" s="89"/>
      <c r="HS3" s="87"/>
      <c r="HT3" s="88"/>
      <c r="HU3" s="89"/>
      <c r="HV3" s="87"/>
      <c r="HW3" s="88"/>
      <c r="HX3" s="89"/>
      <c r="HY3" s="87"/>
      <c r="HZ3" s="88"/>
      <c r="IA3" s="89"/>
      <c r="IB3" s="87"/>
      <c r="IC3" s="88"/>
      <c r="ID3" s="89"/>
      <c r="IE3" s="87"/>
      <c r="IF3" s="88"/>
      <c r="IG3" s="89"/>
      <c r="IH3" s="87"/>
      <c r="II3" s="88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88"/>
      <c r="JN3" s="89"/>
      <c r="JO3" s="87"/>
      <c r="JP3" s="88"/>
      <c r="JQ3" s="89"/>
      <c r="JR3" s="87"/>
      <c r="JS3" s="88"/>
      <c r="JT3" s="89"/>
      <c r="JU3" s="87"/>
      <c r="JV3" s="90"/>
      <c r="JW3" s="86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111"/>
      <c r="LK3" s="109"/>
      <c r="LL3" s="110"/>
      <c r="LM3" s="111"/>
      <c r="LN3" s="109"/>
      <c r="LO3" s="110"/>
      <c r="LP3" s="111"/>
      <c r="LQ3" s="109"/>
      <c r="LR3" s="110"/>
      <c r="LS3" s="111"/>
      <c r="LT3" s="109"/>
      <c r="LU3" s="110"/>
      <c r="LV3" s="111"/>
      <c r="LW3" s="109"/>
      <c r="LX3" s="110"/>
      <c r="LY3" s="111"/>
      <c r="LZ3" s="109"/>
      <c r="MA3" s="110"/>
      <c r="MB3" s="111"/>
      <c r="MC3" s="109"/>
      <c r="MD3" s="110"/>
      <c r="ME3" s="111"/>
      <c r="MF3" s="109"/>
      <c r="MG3" s="110"/>
      <c r="MH3" s="111"/>
      <c r="MI3" s="109"/>
      <c r="MJ3" s="110"/>
      <c r="MK3" s="111"/>
      <c r="ML3" s="109"/>
      <c r="MM3" s="110"/>
      <c r="MN3" s="111"/>
      <c r="MO3" s="109"/>
      <c r="MP3" s="110"/>
      <c r="MQ3" s="111"/>
      <c r="MR3" s="109"/>
      <c r="MS3" s="110"/>
      <c r="MT3" s="111"/>
      <c r="MU3" s="109"/>
      <c r="MV3" s="110"/>
      <c r="MW3" s="111"/>
      <c r="MX3" s="109"/>
      <c r="MY3" s="110"/>
      <c r="MZ3" s="111"/>
      <c r="NA3" s="109"/>
      <c r="NB3" s="110"/>
      <c r="NC3" s="111"/>
      <c r="ND3" s="109"/>
      <c r="NE3" s="110"/>
      <c r="NF3" s="111"/>
      <c r="NG3" s="109"/>
      <c r="NH3" s="110"/>
      <c r="NI3" s="111"/>
      <c r="NJ3" s="109"/>
      <c r="NK3" s="112"/>
      <c r="NL3" s="86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89"/>
      <c r="ON3" s="87"/>
      <c r="OO3" s="88"/>
      <c r="OP3" s="89"/>
      <c r="OQ3" s="87"/>
      <c r="OR3" s="88"/>
      <c r="OS3" s="89"/>
      <c r="OT3" s="87"/>
      <c r="OU3" s="88"/>
      <c r="OV3" s="89"/>
      <c r="OW3" s="87"/>
      <c r="OX3" s="88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88"/>
      <c r="PT3" s="89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88"/>
      <c r="QL3" s="89"/>
      <c r="QM3" s="87"/>
      <c r="QN3" s="88"/>
      <c r="QO3" s="111"/>
      <c r="QP3" s="109"/>
      <c r="QQ3" s="110"/>
      <c r="QR3" s="111"/>
      <c r="QS3" s="109"/>
      <c r="QT3" s="110"/>
      <c r="QU3" s="111"/>
      <c r="QV3" s="109"/>
      <c r="QW3" s="110"/>
      <c r="QX3" s="111"/>
      <c r="QY3" s="109"/>
      <c r="QZ3" s="112"/>
      <c r="RA3" s="86"/>
      <c r="RB3" s="87"/>
      <c r="RC3" s="88"/>
      <c r="RD3" s="89"/>
      <c r="RE3" s="87"/>
      <c r="RF3" s="88"/>
      <c r="RG3" s="89"/>
      <c r="RH3" s="87"/>
      <c r="RI3" s="88"/>
      <c r="RJ3" s="89"/>
      <c r="RK3" s="87"/>
      <c r="RL3" s="88"/>
      <c r="RM3" s="89"/>
      <c r="RN3" s="87"/>
      <c r="RO3" s="88"/>
      <c r="RP3" s="89"/>
      <c r="RQ3" s="87"/>
      <c r="RR3" s="88"/>
      <c r="RS3" s="89"/>
      <c r="RT3" s="87"/>
      <c r="RU3" s="88"/>
      <c r="RV3" s="89"/>
      <c r="RW3" s="87"/>
      <c r="RX3" s="88"/>
      <c r="RY3" s="89"/>
      <c r="RZ3" s="87"/>
      <c r="SA3" s="88"/>
      <c r="SB3" s="111"/>
      <c r="SC3" s="109"/>
      <c r="SD3" s="110"/>
      <c r="SE3" s="111"/>
      <c r="SF3" s="109"/>
      <c r="SG3" s="110"/>
      <c r="SH3" s="111"/>
      <c r="SI3" s="109"/>
      <c r="SJ3" s="110"/>
      <c r="SK3" s="111"/>
      <c r="SL3" s="109"/>
      <c r="SM3" s="110"/>
      <c r="SN3" s="89"/>
      <c r="SO3" s="87"/>
      <c r="SP3" s="88"/>
      <c r="SQ3" s="89"/>
      <c r="SR3" s="87"/>
      <c r="SS3" s="88"/>
      <c r="ST3" s="89"/>
      <c r="SU3" s="87"/>
      <c r="SV3" s="88"/>
      <c r="SW3" s="89"/>
      <c r="SX3" s="87"/>
      <c r="SY3" s="88"/>
      <c r="SZ3" s="89"/>
      <c r="TA3" s="87"/>
      <c r="TB3" s="88"/>
      <c r="TC3" s="89"/>
      <c r="TD3" s="87"/>
      <c r="TE3" s="88"/>
      <c r="TF3" s="89"/>
      <c r="TG3" s="87"/>
      <c r="TH3" s="88"/>
      <c r="TI3" s="89"/>
      <c r="TJ3" s="87"/>
      <c r="TK3" s="88"/>
      <c r="TL3" s="89"/>
      <c r="TM3" s="87"/>
      <c r="TN3" s="88"/>
      <c r="TO3" s="89"/>
      <c r="TP3" s="87"/>
      <c r="TQ3" s="88"/>
      <c r="TR3" s="89"/>
      <c r="TS3" s="87"/>
      <c r="TT3" s="88"/>
      <c r="TU3" s="89"/>
      <c r="TV3" s="87"/>
      <c r="TW3" s="88"/>
      <c r="TX3" s="89"/>
      <c r="TY3" s="87"/>
      <c r="TZ3" s="88"/>
      <c r="UA3" s="89"/>
      <c r="UB3" s="87"/>
      <c r="UC3" s="88"/>
      <c r="UD3" s="89"/>
      <c r="UE3" s="87"/>
      <c r="UF3" s="88"/>
      <c r="UG3" s="89"/>
      <c r="UH3" s="87"/>
      <c r="UI3" s="88"/>
      <c r="UJ3" s="89"/>
      <c r="UK3" s="87"/>
      <c r="UL3" s="88"/>
      <c r="UM3" s="89"/>
      <c r="UN3" s="87"/>
      <c r="UO3" s="90"/>
    </row>
    <row r="4" spans="1:561" ht="19.5" customHeight="1" thickBot="1" x14ac:dyDescent="0.25">
      <c r="A4" s="85"/>
      <c r="B4" s="128"/>
      <c r="C4" s="44">
        <v>18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115"/>
      <c r="AM4" s="116"/>
      <c r="AN4" s="117"/>
      <c r="AO4" s="115"/>
      <c r="AP4" s="116"/>
      <c r="AQ4" s="117"/>
      <c r="AR4" s="115"/>
      <c r="AS4" s="116"/>
      <c r="AT4" s="117"/>
      <c r="AU4" s="115"/>
      <c r="AV4" s="116"/>
      <c r="AW4" s="117"/>
      <c r="AX4" s="115"/>
      <c r="AY4" s="116"/>
      <c r="AZ4" s="117"/>
      <c r="BA4" s="115"/>
      <c r="BB4" s="116"/>
      <c r="BC4" s="117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3"/>
      <c r="CP4" s="94"/>
      <c r="CQ4" s="92"/>
      <c r="CR4" s="95"/>
      <c r="CS4" s="91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3"/>
      <c r="DH4" s="94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3"/>
      <c r="GB4" s="94"/>
      <c r="GC4" s="92"/>
      <c r="GD4" s="93"/>
      <c r="GE4" s="94"/>
      <c r="GF4" s="92"/>
      <c r="GG4" s="95"/>
      <c r="GH4" s="91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3"/>
      <c r="HL4" s="94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3"/>
      <c r="JN4" s="94"/>
      <c r="JO4" s="92"/>
      <c r="JP4" s="93"/>
      <c r="JQ4" s="94"/>
      <c r="JR4" s="92"/>
      <c r="JS4" s="93"/>
      <c r="JT4" s="94"/>
      <c r="JU4" s="92"/>
      <c r="JV4" s="95"/>
      <c r="JW4" s="91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3"/>
      <c r="LP4" s="94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3"/>
      <c r="MZ4" s="94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5"/>
      <c r="NL4" s="91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3"/>
      <c r="PT4" s="94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3"/>
      <c r="QL4" s="94"/>
      <c r="QM4" s="92"/>
      <c r="QN4" s="93"/>
      <c r="QO4" s="94"/>
      <c r="QP4" s="92"/>
      <c r="QQ4" s="93"/>
      <c r="QR4" s="94"/>
      <c r="QS4" s="92"/>
      <c r="QT4" s="93"/>
      <c r="QU4" s="94"/>
      <c r="QV4" s="92"/>
      <c r="QW4" s="93"/>
      <c r="QX4" s="94"/>
      <c r="QY4" s="92"/>
      <c r="QZ4" s="95"/>
      <c r="RA4" s="91"/>
      <c r="RB4" s="92"/>
      <c r="RC4" s="93"/>
      <c r="RD4" s="94"/>
      <c r="RE4" s="92"/>
      <c r="RF4" s="93"/>
      <c r="RG4" s="94"/>
      <c r="RH4" s="92"/>
      <c r="RI4" s="93"/>
      <c r="RJ4" s="94"/>
      <c r="RK4" s="92"/>
      <c r="RL4" s="93"/>
      <c r="RM4" s="94"/>
      <c r="RN4" s="92"/>
      <c r="RO4" s="93"/>
      <c r="RP4" s="94"/>
      <c r="RQ4" s="92"/>
      <c r="RR4" s="93"/>
      <c r="RS4" s="94"/>
      <c r="RT4" s="92"/>
      <c r="RU4" s="93"/>
      <c r="RV4" s="94"/>
      <c r="RW4" s="92"/>
      <c r="RX4" s="93"/>
      <c r="RY4" s="94"/>
      <c r="RZ4" s="92"/>
      <c r="SA4" s="93"/>
      <c r="SB4" s="94"/>
      <c r="SC4" s="92"/>
      <c r="SD4" s="93"/>
      <c r="SE4" s="94"/>
      <c r="SF4" s="92"/>
      <c r="SG4" s="93"/>
      <c r="SH4" s="94"/>
      <c r="SI4" s="92"/>
      <c r="SJ4" s="93"/>
      <c r="SK4" s="94"/>
      <c r="SL4" s="92"/>
      <c r="SM4" s="93"/>
      <c r="SN4" s="94"/>
      <c r="SO4" s="92"/>
      <c r="SP4" s="93"/>
      <c r="SQ4" s="94"/>
      <c r="SR4" s="92"/>
      <c r="SS4" s="93"/>
      <c r="ST4" s="94"/>
      <c r="SU4" s="92"/>
      <c r="SV4" s="93"/>
      <c r="SW4" s="94"/>
      <c r="SX4" s="92"/>
      <c r="SY4" s="93"/>
      <c r="SZ4" s="94"/>
      <c r="TA4" s="92"/>
      <c r="TB4" s="93"/>
      <c r="TC4" s="94"/>
      <c r="TD4" s="92"/>
      <c r="TE4" s="93"/>
      <c r="TF4" s="94"/>
      <c r="TG4" s="92"/>
      <c r="TH4" s="93"/>
      <c r="TI4" s="94"/>
      <c r="TJ4" s="92"/>
      <c r="TK4" s="93"/>
      <c r="TL4" s="94"/>
      <c r="TM4" s="92"/>
      <c r="TN4" s="93"/>
      <c r="TO4" s="94"/>
      <c r="TP4" s="92"/>
      <c r="TQ4" s="93"/>
      <c r="TR4" s="94"/>
      <c r="TS4" s="92"/>
      <c r="TT4" s="93"/>
      <c r="TU4" s="94"/>
      <c r="TV4" s="92"/>
      <c r="TW4" s="93"/>
      <c r="TX4" s="94"/>
      <c r="TY4" s="92"/>
      <c r="TZ4" s="93"/>
      <c r="UA4" s="94"/>
      <c r="UB4" s="92"/>
      <c r="UC4" s="93"/>
      <c r="UD4" s="94"/>
      <c r="UE4" s="92"/>
      <c r="UF4" s="93"/>
      <c r="UG4" s="94"/>
      <c r="UH4" s="92"/>
      <c r="UI4" s="93"/>
      <c r="UJ4" s="94"/>
      <c r="UK4" s="92"/>
      <c r="UL4" s="93"/>
      <c r="UM4" s="94"/>
      <c r="UN4" s="92"/>
      <c r="UO4" s="95"/>
    </row>
    <row r="5" spans="1:561" ht="19.5" customHeight="1" x14ac:dyDescent="0.2">
      <c r="B5" s="129" t="str">
        <f>Donnees!$C$21</f>
        <v>Analyse</v>
      </c>
      <c r="C5" s="96">
        <v>58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88"/>
      <c r="Y5" s="89"/>
      <c r="Z5" s="87"/>
      <c r="AA5" s="88"/>
      <c r="AB5" s="89"/>
      <c r="AC5" s="109"/>
      <c r="AD5" s="110"/>
      <c r="AE5" s="111"/>
      <c r="AF5" s="109"/>
      <c r="AG5" s="110"/>
      <c r="AH5" s="111"/>
      <c r="AI5" s="109"/>
      <c r="AJ5" s="110"/>
      <c r="AK5" s="111"/>
      <c r="AL5" s="109"/>
      <c r="AM5" s="110"/>
      <c r="AN5" s="111"/>
      <c r="AO5" s="109"/>
      <c r="AP5" s="110"/>
      <c r="AQ5" s="111"/>
      <c r="AR5" s="109"/>
      <c r="AS5" s="110"/>
      <c r="AT5" s="111"/>
      <c r="AU5" s="109"/>
      <c r="AV5" s="110"/>
      <c r="AW5" s="111"/>
      <c r="AX5" s="109"/>
      <c r="AY5" s="110"/>
      <c r="AZ5" s="111"/>
      <c r="BA5" s="109"/>
      <c r="BB5" s="110"/>
      <c r="BC5" s="111"/>
      <c r="BD5" s="109"/>
      <c r="BE5" s="110"/>
      <c r="BF5" s="111"/>
      <c r="BG5" s="109"/>
      <c r="BH5" s="110"/>
      <c r="BI5" s="111"/>
      <c r="BJ5" s="109"/>
      <c r="BK5" s="110"/>
      <c r="BL5" s="111"/>
      <c r="BM5" s="109"/>
      <c r="BN5" s="110"/>
      <c r="BO5" s="111"/>
      <c r="BP5" s="109"/>
      <c r="BQ5" s="110"/>
      <c r="BR5" s="111"/>
      <c r="BS5" s="109"/>
      <c r="BT5" s="110"/>
      <c r="BU5" s="111"/>
      <c r="BV5" s="87"/>
      <c r="BW5" s="88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88"/>
      <c r="CP5" s="111"/>
      <c r="CQ5" s="109"/>
      <c r="CR5" s="112"/>
      <c r="CS5" s="86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88"/>
      <c r="DH5" s="89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109"/>
      <c r="EZ5" s="110"/>
      <c r="FA5" s="111"/>
      <c r="FB5" s="109"/>
      <c r="FC5" s="110"/>
      <c r="FD5" s="111"/>
      <c r="FE5" s="109"/>
      <c r="FF5" s="110"/>
      <c r="FG5" s="111"/>
      <c r="FH5" s="109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88"/>
      <c r="GB5" s="89"/>
      <c r="GC5" s="87"/>
      <c r="GD5" s="88"/>
      <c r="GE5" s="89"/>
      <c r="GF5" s="87"/>
      <c r="GG5" s="90"/>
      <c r="GH5" s="86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88"/>
      <c r="HL5" s="89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88"/>
      <c r="JN5" s="89"/>
      <c r="JO5" s="87"/>
      <c r="JP5" s="88"/>
      <c r="JQ5" s="89"/>
      <c r="JR5" s="87"/>
      <c r="JS5" s="88"/>
      <c r="JT5" s="89"/>
      <c r="JU5" s="87"/>
      <c r="JV5" s="90"/>
      <c r="JW5" s="86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88"/>
      <c r="LP5" s="89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88"/>
      <c r="MZ5" s="89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90"/>
      <c r="NL5" s="86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88"/>
      <c r="PT5" s="89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88"/>
      <c r="QL5" s="89"/>
      <c r="QM5" s="87"/>
      <c r="QN5" s="88"/>
      <c r="QO5" s="89"/>
      <c r="QP5" s="87"/>
      <c r="QQ5" s="88"/>
      <c r="QR5" s="89"/>
      <c r="QS5" s="87"/>
      <c r="QT5" s="88"/>
      <c r="QU5" s="89"/>
      <c r="QV5" s="87"/>
      <c r="QW5" s="88"/>
      <c r="QX5" s="89"/>
      <c r="QY5" s="87"/>
      <c r="QZ5" s="90"/>
      <c r="RA5" s="86"/>
      <c r="RB5" s="87"/>
      <c r="RC5" s="88"/>
      <c r="RD5" s="89"/>
      <c r="RE5" s="87"/>
      <c r="RF5" s="88"/>
      <c r="RG5" s="89"/>
      <c r="RH5" s="87"/>
      <c r="RI5" s="88"/>
      <c r="RJ5" s="89"/>
      <c r="RK5" s="87"/>
      <c r="RL5" s="88"/>
      <c r="RM5" s="89"/>
      <c r="RN5" s="87"/>
      <c r="RO5" s="88"/>
      <c r="RP5" s="89"/>
      <c r="RQ5" s="87"/>
      <c r="RR5" s="88"/>
      <c r="RS5" s="89"/>
      <c r="RT5" s="87"/>
      <c r="RU5" s="88"/>
      <c r="RV5" s="89"/>
      <c r="RW5" s="87"/>
      <c r="RX5" s="88"/>
      <c r="RY5" s="89"/>
      <c r="RZ5" s="87"/>
      <c r="SA5" s="88"/>
      <c r="SB5" s="89"/>
      <c r="SC5" s="87"/>
      <c r="SD5" s="88"/>
      <c r="SE5" s="89"/>
      <c r="SF5" s="87"/>
      <c r="SG5" s="88"/>
      <c r="SH5" s="89"/>
      <c r="SI5" s="87"/>
      <c r="SJ5" s="88"/>
      <c r="SK5" s="89"/>
      <c r="SL5" s="87"/>
      <c r="SM5" s="88"/>
      <c r="SN5" s="89"/>
      <c r="SO5" s="87"/>
      <c r="SP5" s="88"/>
      <c r="SQ5" s="89"/>
      <c r="SR5" s="87"/>
      <c r="SS5" s="88"/>
      <c r="ST5" s="89"/>
      <c r="SU5" s="87"/>
      <c r="SV5" s="88"/>
      <c r="SW5" s="89"/>
      <c r="SX5" s="87"/>
      <c r="SY5" s="88"/>
      <c r="SZ5" s="89"/>
      <c r="TA5" s="87"/>
      <c r="TB5" s="88"/>
      <c r="TC5" s="89"/>
      <c r="TD5" s="87"/>
      <c r="TE5" s="88"/>
      <c r="TF5" s="89"/>
      <c r="TG5" s="87"/>
      <c r="TH5" s="88"/>
      <c r="TI5" s="89"/>
      <c r="TJ5" s="87"/>
      <c r="TK5" s="88"/>
      <c r="TL5" s="89"/>
      <c r="TM5" s="87"/>
      <c r="TN5" s="88"/>
      <c r="TO5" s="89"/>
      <c r="TP5" s="87"/>
      <c r="TQ5" s="88"/>
      <c r="TR5" s="89"/>
      <c r="TS5" s="87"/>
      <c r="TT5" s="88"/>
      <c r="TU5" s="89"/>
      <c r="TV5" s="87"/>
      <c r="TW5" s="88"/>
      <c r="TX5" s="89"/>
      <c r="TY5" s="87"/>
      <c r="TZ5" s="88"/>
      <c r="UA5" s="89"/>
      <c r="UB5" s="87"/>
      <c r="UC5" s="88"/>
      <c r="UD5" s="89"/>
      <c r="UE5" s="87"/>
      <c r="UF5" s="88"/>
      <c r="UG5" s="89"/>
      <c r="UH5" s="87"/>
      <c r="UI5" s="88"/>
      <c r="UJ5" s="89"/>
      <c r="UK5" s="87"/>
      <c r="UL5" s="88"/>
      <c r="UM5" s="89"/>
      <c r="UN5" s="87"/>
      <c r="UO5" s="90"/>
    </row>
    <row r="6" spans="1:561" ht="19.5" customHeight="1" thickBot="1" x14ac:dyDescent="0.25">
      <c r="B6" s="126"/>
      <c r="C6" s="97">
        <v>47</v>
      </c>
      <c r="D6" s="114"/>
      <c r="E6" s="115"/>
      <c r="F6" s="116"/>
      <c r="G6" s="117"/>
      <c r="H6" s="115"/>
      <c r="I6" s="116"/>
      <c r="J6" s="117"/>
      <c r="K6" s="115"/>
      <c r="L6" s="116"/>
      <c r="M6" s="117"/>
      <c r="N6" s="115"/>
      <c r="O6" s="93"/>
      <c r="P6" s="117"/>
      <c r="Q6" s="115"/>
      <c r="R6" s="116"/>
      <c r="S6" s="117"/>
      <c r="T6" s="115"/>
      <c r="U6" s="116"/>
      <c r="V6" s="117"/>
      <c r="W6" s="115"/>
      <c r="X6" s="116"/>
      <c r="Y6" s="117"/>
      <c r="Z6" s="115"/>
      <c r="AA6" s="116"/>
      <c r="AB6" s="117"/>
      <c r="AC6" s="115"/>
      <c r="AD6" s="116"/>
      <c r="AE6" s="117"/>
      <c r="AF6" s="115"/>
      <c r="AG6" s="93"/>
      <c r="AH6" s="117"/>
      <c r="AI6" s="115"/>
      <c r="AJ6" s="116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115"/>
      <c r="BE6" s="116"/>
      <c r="BF6" s="117"/>
      <c r="BG6" s="115"/>
      <c r="BH6" s="116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94"/>
      <c r="CB6" s="92"/>
      <c r="CC6" s="116"/>
      <c r="CD6" s="117"/>
      <c r="CE6" s="115"/>
      <c r="CF6" s="93"/>
      <c r="CG6" s="117"/>
      <c r="CH6" s="115"/>
      <c r="CI6" s="116"/>
      <c r="CJ6" s="117"/>
      <c r="CK6" s="115"/>
      <c r="CL6" s="116"/>
      <c r="CM6" s="117"/>
      <c r="CN6" s="115"/>
      <c r="CO6" s="93"/>
      <c r="CP6" s="94"/>
      <c r="CQ6" s="92"/>
      <c r="CR6" s="95"/>
      <c r="CS6" s="91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3"/>
      <c r="DH6" s="94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3"/>
      <c r="GB6" s="94"/>
      <c r="GC6" s="92"/>
      <c r="GD6" s="93"/>
      <c r="GE6" s="94"/>
      <c r="GF6" s="92"/>
      <c r="GG6" s="95"/>
      <c r="GH6" s="91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3"/>
      <c r="HL6" s="94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3"/>
      <c r="JN6" s="94"/>
      <c r="JO6" s="92"/>
      <c r="JP6" s="93"/>
      <c r="JQ6" s="94"/>
      <c r="JR6" s="92"/>
      <c r="JS6" s="93"/>
      <c r="JT6" s="94"/>
      <c r="JU6" s="92"/>
      <c r="JV6" s="95"/>
      <c r="JW6" s="91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3"/>
      <c r="LP6" s="94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3"/>
      <c r="MZ6" s="94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5"/>
      <c r="NL6" s="91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3"/>
      <c r="PT6" s="94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3"/>
      <c r="QL6" s="94"/>
      <c r="QM6" s="92"/>
      <c r="QN6" s="93"/>
      <c r="QO6" s="94"/>
      <c r="QP6" s="92"/>
      <c r="QQ6" s="93"/>
      <c r="QR6" s="94"/>
      <c r="QS6" s="92"/>
      <c r="QT6" s="93"/>
      <c r="QU6" s="94"/>
      <c r="QV6" s="92"/>
      <c r="QW6" s="93"/>
      <c r="QX6" s="94"/>
      <c r="QY6" s="92"/>
      <c r="QZ6" s="95"/>
      <c r="RA6" s="91"/>
      <c r="RB6" s="92"/>
      <c r="RC6" s="93"/>
      <c r="RD6" s="94"/>
      <c r="RE6" s="92"/>
      <c r="RF6" s="93"/>
      <c r="RG6" s="94"/>
      <c r="RH6" s="92"/>
      <c r="RI6" s="93"/>
      <c r="RJ6" s="94"/>
      <c r="RK6" s="92"/>
      <c r="RL6" s="93"/>
      <c r="RM6" s="94"/>
      <c r="RN6" s="92"/>
      <c r="RO6" s="93"/>
      <c r="RP6" s="94"/>
      <c r="RQ6" s="92"/>
      <c r="RR6" s="93"/>
      <c r="RS6" s="94"/>
      <c r="RT6" s="92"/>
      <c r="RU6" s="93"/>
      <c r="RV6" s="94"/>
      <c r="RW6" s="92"/>
      <c r="RX6" s="93"/>
      <c r="RY6" s="94"/>
      <c r="RZ6" s="92"/>
      <c r="SA6" s="93"/>
      <c r="SB6" s="94"/>
      <c r="SC6" s="92"/>
      <c r="SD6" s="93"/>
      <c r="SE6" s="94"/>
      <c r="SF6" s="92"/>
      <c r="SG6" s="93"/>
      <c r="SH6" s="94"/>
      <c r="SI6" s="92"/>
      <c r="SJ6" s="93"/>
      <c r="SK6" s="94"/>
      <c r="SL6" s="92"/>
      <c r="SM6" s="93"/>
      <c r="SN6" s="94"/>
      <c r="SO6" s="92"/>
      <c r="SP6" s="93"/>
      <c r="SQ6" s="94"/>
      <c r="SR6" s="92"/>
      <c r="SS6" s="93"/>
      <c r="ST6" s="94"/>
      <c r="SU6" s="92"/>
      <c r="SV6" s="93"/>
      <c r="SW6" s="94"/>
      <c r="SX6" s="92"/>
      <c r="SY6" s="93"/>
      <c r="SZ6" s="94"/>
      <c r="TA6" s="92"/>
      <c r="TB6" s="93"/>
      <c r="TC6" s="94"/>
      <c r="TD6" s="92"/>
      <c r="TE6" s="93"/>
      <c r="TF6" s="94"/>
      <c r="TG6" s="92"/>
      <c r="TH6" s="93"/>
      <c r="TI6" s="94"/>
      <c r="TJ6" s="92"/>
      <c r="TK6" s="93"/>
      <c r="TL6" s="94"/>
      <c r="TM6" s="92"/>
      <c r="TN6" s="93"/>
      <c r="TO6" s="94"/>
      <c r="TP6" s="92"/>
      <c r="TQ6" s="93"/>
      <c r="TR6" s="94"/>
      <c r="TS6" s="92"/>
      <c r="TT6" s="93"/>
      <c r="TU6" s="94"/>
      <c r="TV6" s="92"/>
      <c r="TW6" s="93"/>
      <c r="TX6" s="94"/>
      <c r="TY6" s="92"/>
      <c r="TZ6" s="93"/>
      <c r="UA6" s="94"/>
      <c r="UB6" s="92"/>
      <c r="UC6" s="93"/>
      <c r="UD6" s="94"/>
      <c r="UE6" s="92"/>
      <c r="UF6" s="93"/>
      <c r="UG6" s="94"/>
      <c r="UH6" s="92"/>
      <c r="UI6" s="93"/>
      <c r="UJ6" s="94"/>
      <c r="UK6" s="92"/>
      <c r="UL6" s="93"/>
      <c r="UM6" s="94"/>
      <c r="UN6" s="92"/>
      <c r="UO6" s="95"/>
    </row>
    <row r="7" spans="1:561" ht="19.5" customHeight="1" x14ac:dyDescent="0.2">
      <c r="B7" s="125" t="str">
        <f>Donnees!$C$22</f>
        <v>Implémentation</v>
      </c>
      <c r="C7" s="96">
        <v>199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88"/>
      <c r="P7" s="89"/>
      <c r="Q7" s="87"/>
      <c r="R7" s="88"/>
      <c r="S7" s="89"/>
      <c r="T7" s="87"/>
      <c r="U7" s="88"/>
      <c r="V7" s="89"/>
      <c r="W7" s="87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89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88"/>
      <c r="CJ7" s="89"/>
      <c r="CK7" s="87"/>
      <c r="CL7" s="88"/>
      <c r="CM7" s="89"/>
      <c r="CN7" s="87"/>
      <c r="CO7" s="88"/>
      <c r="CP7" s="89"/>
      <c r="CQ7" s="87"/>
      <c r="CR7" s="90"/>
      <c r="CS7" s="86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88"/>
      <c r="DH7" s="89"/>
      <c r="DI7" s="87"/>
      <c r="DJ7" s="88"/>
      <c r="DK7" s="89"/>
      <c r="DL7" s="87"/>
      <c r="DM7" s="88"/>
      <c r="DN7" s="89"/>
      <c r="DO7" s="87"/>
      <c r="DP7" s="88"/>
      <c r="DQ7" s="89"/>
      <c r="DR7" s="87"/>
      <c r="DS7" s="88"/>
      <c r="DT7" s="89"/>
      <c r="DU7" s="87"/>
      <c r="DV7" s="88"/>
      <c r="DW7" s="89"/>
      <c r="DX7" s="87"/>
      <c r="DY7" s="88"/>
      <c r="DZ7" s="111"/>
      <c r="EA7" s="109"/>
      <c r="EB7" s="110"/>
      <c r="EC7" s="111"/>
      <c r="ED7" s="109"/>
      <c r="EE7" s="110"/>
      <c r="EF7" s="111"/>
      <c r="EG7" s="109"/>
      <c r="EH7" s="110"/>
      <c r="EI7" s="111"/>
      <c r="EJ7" s="109"/>
      <c r="EK7" s="110"/>
      <c r="EL7" s="111"/>
      <c r="EM7" s="109"/>
      <c r="EN7" s="110"/>
      <c r="EO7" s="111"/>
      <c r="EP7" s="109"/>
      <c r="EQ7" s="110"/>
      <c r="ER7" s="111"/>
      <c r="ES7" s="109"/>
      <c r="ET7" s="110"/>
      <c r="EU7" s="111"/>
      <c r="EV7" s="109"/>
      <c r="EW7" s="110"/>
      <c r="EX7" s="111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110"/>
      <c r="FM7" s="111"/>
      <c r="FN7" s="109"/>
      <c r="FO7" s="110"/>
      <c r="FP7" s="111"/>
      <c r="FQ7" s="109"/>
      <c r="FR7" s="110"/>
      <c r="FS7" s="111"/>
      <c r="FT7" s="109"/>
      <c r="FU7" s="110"/>
      <c r="FV7" s="111"/>
      <c r="FW7" s="109"/>
      <c r="FX7" s="110"/>
      <c r="FY7" s="111"/>
      <c r="FZ7" s="109"/>
      <c r="GA7" s="110"/>
      <c r="GB7" s="111"/>
      <c r="GC7" s="109"/>
      <c r="GD7" s="110"/>
      <c r="GE7" s="111"/>
      <c r="GF7" s="109"/>
      <c r="GG7" s="112"/>
      <c r="GH7" s="108"/>
      <c r="GI7" s="109"/>
      <c r="GJ7" s="110"/>
      <c r="GK7" s="111"/>
      <c r="GL7" s="109"/>
      <c r="GM7" s="110"/>
      <c r="GN7" s="111"/>
      <c r="GO7" s="109"/>
      <c r="GP7" s="110"/>
      <c r="GQ7" s="111"/>
      <c r="GR7" s="109"/>
      <c r="GS7" s="110"/>
      <c r="GT7" s="111"/>
      <c r="GU7" s="109"/>
      <c r="GV7" s="110"/>
      <c r="GW7" s="111"/>
      <c r="GX7" s="109"/>
      <c r="GY7" s="110"/>
      <c r="GZ7" s="111"/>
      <c r="HA7" s="109"/>
      <c r="HB7" s="110"/>
      <c r="HC7" s="111"/>
      <c r="HD7" s="109"/>
      <c r="HE7" s="110"/>
      <c r="HF7" s="111"/>
      <c r="HG7" s="109"/>
      <c r="HH7" s="110"/>
      <c r="HI7" s="111"/>
      <c r="HJ7" s="109"/>
      <c r="HK7" s="110"/>
      <c r="HL7" s="111"/>
      <c r="HM7" s="109"/>
      <c r="HN7" s="110"/>
      <c r="HO7" s="111"/>
      <c r="HP7" s="109"/>
      <c r="HQ7" s="110"/>
      <c r="HR7" s="111"/>
      <c r="HS7" s="109"/>
      <c r="HT7" s="110"/>
      <c r="HU7" s="111"/>
      <c r="HV7" s="109"/>
      <c r="HW7" s="110"/>
      <c r="HX7" s="111"/>
      <c r="HY7" s="109"/>
      <c r="HZ7" s="110"/>
      <c r="IA7" s="111"/>
      <c r="IB7" s="109"/>
      <c r="IC7" s="110"/>
      <c r="ID7" s="111"/>
      <c r="IE7" s="109"/>
      <c r="IF7" s="110"/>
      <c r="IG7" s="111"/>
      <c r="IH7" s="109"/>
      <c r="II7" s="110"/>
      <c r="IJ7" s="111"/>
      <c r="IK7" s="109"/>
      <c r="IL7" s="110"/>
      <c r="IM7" s="111"/>
      <c r="IN7" s="109"/>
      <c r="IO7" s="110"/>
      <c r="IP7" s="111"/>
      <c r="IQ7" s="109"/>
      <c r="IR7" s="110"/>
      <c r="IS7" s="111"/>
      <c r="IT7" s="109"/>
      <c r="IU7" s="110"/>
      <c r="IV7" s="111"/>
      <c r="IW7" s="109"/>
      <c r="IX7" s="110"/>
      <c r="IY7" s="111"/>
      <c r="IZ7" s="109"/>
      <c r="JA7" s="110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88"/>
      <c r="JN7" s="89"/>
      <c r="JO7" s="87"/>
      <c r="JP7" s="88"/>
      <c r="JQ7" s="89"/>
      <c r="JR7" s="87"/>
      <c r="JS7" s="88"/>
      <c r="JT7" s="89"/>
      <c r="JU7" s="87"/>
      <c r="JV7" s="90"/>
      <c r="JW7" s="108"/>
      <c r="JX7" s="109"/>
      <c r="JY7" s="110"/>
      <c r="JZ7" s="111"/>
      <c r="KA7" s="109"/>
      <c r="KB7" s="110"/>
      <c r="KC7" s="111"/>
      <c r="KD7" s="109"/>
      <c r="KE7" s="110"/>
      <c r="KF7" s="111"/>
      <c r="KG7" s="109"/>
      <c r="KH7" s="110"/>
      <c r="KI7" s="111"/>
      <c r="KJ7" s="109"/>
      <c r="KK7" s="110"/>
      <c r="KL7" s="111"/>
      <c r="KM7" s="109"/>
      <c r="KN7" s="110"/>
      <c r="KO7" s="111"/>
      <c r="KP7" s="109"/>
      <c r="KQ7" s="110"/>
      <c r="KR7" s="111"/>
      <c r="KS7" s="109"/>
      <c r="KT7" s="110"/>
      <c r="KU7" s="111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88"/>
      <c r="LP7" s="89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88"/>
      <c r="MZ7" s="89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90"/>
      <c r="NL7" s="108"/>
      <c r="NM7" s="109"/>
      <c r="NN7" s="110"/>
      <c r="NO7" s="111"/>
      <c r="NP7" s="109"/>
      <c r="NQ7" s="110"/>
      <c r="NR7" s="111"/>
      <c r="NS7" s="109"/>
      <c r="NT7" s="110"/>
      <c r="NU7" s="111"/>
      <c r="NV7" s="109"/>
      <c r="NW7" s="110"/>
      <c r="NX7" s="111"/>
      <c r="NY7" s="109"/>
      <c r="NZ7" s="110"/>
      <c r="OA7" s="111"/>
      <c r="OB7" s="109"/>
      <c r="OC7" s="110"/>
      <c r="OD7" s="111"/>
      <c r="OE7" s="109"/>
      <c r="OF7" s="110"/>
      <c r="OG7" s="111"/>
      <c r="OH7" s="109"/>
      <c r="OI7" s="110"/>
      <c r="OJ7" s="111"/>
      <c r="OK7" s="109"/>
      <c r="OL7" s="110"/>
      <c r="OM7" s="111"/>
      <c r="ON7" s="109"/>
      <c r="OO7" s="110"/>
      <c r="OP7" s="111"/>
      <c r="OQ7" s="109"/>
      <c r="OR7" s="110"/>
      <c r="OS7" s="111"/>
      <c r="OT7" s="109"/>
      <c r="OU7" s="110"/>
      <c r="OV7" s="111"/>
      <c r="OW7" s="109"/>
      <c r="OX7" s="110"/>
      <c r="OY7" s="111"/>
      <c r="OZ7" s="109"/>
      <c r="PA7" s="110"/>
      <c r="PB7" s="111"/>
      <c r="PC7" s="109"/>
      <c r="PD7" s="110"/>
      <c r="PE7" s="111"/>
      <c r="PF7" s="109"/>
      <c r="PG7" s="110"/>
      <c r="PH7" s="111"/>
      <c r="PI7" s="109"/>
      <c r="PJ7" s="110"/>
      <c r="PK7" s="111"/>
      <c r="PL7" s="109"/>
      <c r="PM7" s="110"/>
      <c r="PN7" s="111"/>
      <c r="PO7" s="87"/>
      <c r="PP7" s="88"/>
      <c r="PQ7" s="89"/>
      <c r="PR7" s="87"/>
      <c r="PS7" s="88"/>
      <c r="PT7" s="89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88"/>
      <c r="QL7" s="89"/>
      <c r="QM7" s="87"/>
      <c r="QN7" s="88"/>
      <c r="QO7" s="89"/>
      <c r="QP7" s="87"/>
      <c r="QQ7" s="88"/>
      <c r="QR7" s="89"/>
      <c r="QS7" s="87"/>
      <c r="QT7" s="88"/>
      <c r="QU7" s="89"/>
      <c r="QV7" s="87"/>
      <c r="QW7" s="88"/>
      <c r="QX7" s="89"/>
      <c r="QY7" s="87"/>
      <c r="QZ7" s="90"/>
      <c r="RA7" s="86"/>
      <c r="RB7" s="87"/>
      <c r="RC7" s="88"/>
      <c r="RD7" s="89"/>
      <c r="RE7" s="87"/>
      <c r="RF7" s="88"/>
      <c r="RG7" s="89"/>
      <c r="RH7" s="87"/>
      <c r="RI7" s="88"/>
      <c r="RJ7" s="89"/>
      <c r="RK7" s="87"/>
      <c r="RL7" s="88"/>
      <c r="RM7" s="89"/>
      <c r="RN7" s="87"/>
      <c r="RO7" s="88"/>
      <c r="RP7" s="89"/>
      <c r="RQ7" s="87"/>
      <c r="RR7" s="88"/>
      <c r="RS7" s="89"/>
      <c r="RT7" s="87"/>
      <c r="RU7" s="88"/>
      <c r="RV7" s="89"/>
      <c r="RW7" s="87"/>
      <c r="RX7" s="88"/>
      <c r="RY7" s="89"/>
      <c r="RZ7" s="87"/>
      <c r="SA7" s="88"/>
      <c r="SB7" s="89"/>
      <c r="SC7" s="87"/>
      <c r="SD7" s="88"/>
      <c r="SE7" s="89"/>
      <c r="SF7" s="87"/>
      <c r="SG7" s="88"/>
      <c r="SH7" s="89"/>
      <c r="SI7" s="87"/>
      <c r="SJ7" s="88"/>
      <c r="SK7" s="89"/>
      <c r="SL7" s="87"/>
      <c r="SM7" s="88"/>
      <c r="SN7" s="89"/>
      <c r="SO7" s="87"/>
      <c r="SP7" s="88"/>
      <c r="SQ7" s="89"/>
      <c r="SR7" s="87"/>
      <c r="SS7" s="88"/>
      <c r="ST7" s="89"/>
      <c r="SU7" s="87"/>
      <c r="SV7" s="88"/>
      <c r="SW7" s="89"/>
      <c r="SX7" s="87"/>
      <c r="SY7" s="88"/>
      <c r="SZ7" s="89"/>
      <c r="TA7" s="87"/>
      <c r="TB7" s="88"/>
      <c r="TC7" s="89"/>
      <c r="TD7" s="87"/>
      <c r="TE7" s="88"/>
      <c r="TF7" s="89"/>
      <c r="TG7" s="87"/>
      <c r="TH7" s="88"/>
      <c r="TI7" s="89"/>
      <c r="TJ7" s="87"/>
      <c r="TK7" s="88"/>
      <c r="TL7" s="89"/>
      <c r="TM7" s="87"/>
      <c r="TN7" s="88"/>
      <c r="TO7" s="89"/>
      <c r="TP7" s="87"/>
      <c r="TQ7" s="88"/>
      <c r="TR7" s="89"/>
      <c r="TS7" s="87"/>
      <c r="TT7" s="88"/>
      <c r="TU7" s="89"/>
      <c r="TV7" s="87"/>
      <c r="TW7" s="88"/>
      <c r="TX7" s="89"/>
      <c r="TY7" s="87"/>
      <c r="TZ7" s="88"/>
      <c r="UA7" s="89"/>
      <c r="UB7" s="87"/>
      <c r="UC7" s="88"/>
      <c r="UD7" s="89"/>
      <c r="UE7" s="87"/>
      <c r="UF7" s="88"/>
      <c r="UG7" s="89"/>
      <c r="UH7" s="87"/>
      <c r="UI7" s="88"/>
      <c r="UJ7" s="89"/>
      <c r="UK7" s="87"/>
      <c r="UL7" s="88"/>
      <c r="UM7" s="89"/>
      <c r="UN7" s="87"/>
      <c r="UO7" s="90"/>
    </row>
    <row r="8" spans="1:561" ht="19.5" customHeight="1" thickBot="1" x14ac:dyDescent="0.25">
      <c r="B8" s="126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3"/>
      <c r="P8" s="94"/>
      <c r="Q8" s="92"/>
      <c r="R8" s="93"/>
      <c r="S8" s="94"/>
      <c r="T8" s="92"/>
      <c r="U8" s="93"/>
      <c r="V8" s="94"/>
      <c r="W8" s="92"/>
      <c r="X8" s="93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3"/>
      <c r="CP8" s="94"/>
      <c r="CQ8" s="92"/>
      <c r="CR8" s="95"/>
      <c r="CS8" s="91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3"/>
      <c r="DH8" s="94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3"/>
      <c r="GB8" s="94"/>
      <c r="GC8" s="92"/>
      <c r="GD8" s="93"/>
      <c r="GE8" s="94"/>
      <c r="GF8" s="92"/>
      <c r="GG8" s="95"/>
      <c r="GH8" s="91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3"/>
      <c r="HL8" s="94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3"/>
      <c r="JN8" s="94"/>
      <c r="JO8" s="92"/>
      <c r="JP8" s="93"/>
      <c r="JQ8" s="94"/>
      <c r="JR8" s="92"/>
      <c r="JS8" s="93"/>
      <c r="JT8" s="94"/>
      <c r="JU8" s="92"/>
      <c r="JV8" s="95"/>
      <c r="JW8" s="91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3"/>
      <c r="LP8" s="94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3"/>
      <c r="MZ8" s="94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5"/>
      <c r="NL8" s="91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3"/>
      <c r="PT8" s="94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3"/>
      <c r="QL8" s="94"/>
      <c r="QM8" s="92"/>
      <c r="QN8" s="93"/>
      <c r="QO8" s="94"/>
      <c r="QP8" s="92"/>
      <c r="QQ8" s="93"/>
      <c r="QR8" s="94"/>
      <c r="QS8" s="92"/>
      <c r="QT8" s="93"/>
      <c r="QU8" s="94"/>
      <c r="QV8" s="92"/>
      <c r="QW8" s="93"/>
      <c r="QX8" s="94"/>
      <c r="QY8" s="92"/>
      <c r="QZ8" s="95"/>
      <c r="RA8" s="91"/>
      <c r="RB8" s="92"/>
      <c r="RC8" s="93"/>
      <c r="RD8" s="94"/>
      <c r="RE8" s="92"/>
      <c r="RF8" s="93"/>
      <c r="RG8" s="94"/>
      <c r="RH8" s="92"/>
      <c r="RI8" s="93"/>
      <c r="RJ8" s="94"/>
      <c r="RK8" s="92"/>
      <c r="RL8" s="93"/>
      <c r="RM8" s="94"/>
      <c r="RN8" s="92"/>
      <c r="RO8" s="93"/>
      <c r="RP8" s="94"/>
      <c r="RQ8" s="92"/>
      <c r="RR8" s="93"/>
      <c r="RS8" s="94"/>
      <c r="RT8" s="92"/>
      <c r="RU8" s="93"/>
      <c r="RV8" s="94"/>
      <c r="RW8" s="92"/>
      <c r="RX8" s="93"/>
      <c r="RY8" s="94"/>
      <c r="RZ8" s="92"/>
      <c r="SA8" s="93"/>
      <c r="SB8" s="94"/>
      <c r="SC8" s="92"/>
      <c r="SD8" s="93"/>
      <c r="SE8" s="94"/>
      <c r="SF8" s="92"/>
      <c r="SG8" s="93"/>
      <c r="SH8" s="94"/>
      <c r="SI8" s="92"/>
      <c r="SJ8" s="93"/>
      <c r="SK8" s="94"/>
      <c r="SL8" s="92"/>
      <c r="SM8" s="93"/>
      <c r="SN8" s="94"/>
      <c r="SO8" s="92"/>
      <c r="SP8" s="93"/>
      <c r="SQ8" s="94"/>
      <c r="SR8" s="92"/>
      <c r="SS8" s="93"/>
      <c r="ST8" s="94"/>
      <c r="SU8" s="92"/>
      <c r="SV8" s="93"/>
      <c r="SW8" s="94"/>
      <c r="SX8" s="92"/>
      <c r="SY8" s="93"/>
      <c r="SZ8" s="94"/>
      <c r="TA8" s="92"/>
      <c r="TB8" s="93"/>
      <c r="TC8" s="94"/>
      <c r="TD8" s="92"/>
      <c r="TE8" s="93"/>
      <c r="TF8" s="94"/>
      <c r="TG8" s="92"/>
      <c r="TH8" s="93"/>
      <c r="TI8" s="94"/>
      <c r="TJ8" s="92"/>
      <c r="TK8" s="93"/>
      <c r="TL8" s="94"/>
      <c r="TM8" s="92"/>
      <c r="TN8" s="93"/>
      <c r="TO8" s="94"/>
      <c r="TP8" s="92"/>
      <c r="TQ8" s="93"/>
      <c r="TR8" s="94"/>
      <c r="TS8" s="92"/>
      <c r="TT8" s="93"/>
      <c r="TU8" s="94"/>
      <c r="TV8" s="92"/>
      <c r="TW8" s="93"/>
      <c r="TX8" s="94"/>
      <c r="TY8" s="92"/>
      <c r="TZ8" s="93"/>
      <c r="UA8" s="94"/>
      <c r="UB8" s="92"/>
      <c r="UC8" s="93"/>
      <c r="UD8" s="94"/>
      <c r="UE8" s="92"/>
      <c r="UF8" s="93"/>
      <c r="UG8" s="94"/>
      <c r="UH8" s="92"/>
      <c r="UI8" s="93"/>
      <c r="UJ8" s="94"/>
      <c r="UK8" s="92"/>
      <c r="UL8" s="93"/>
      <c r="UM8" s="94"/>
      <c r="UN8" s="92"/>
      <c r="UO8" s="95"/>
    </row>
    <row r="9" spans="1:561" ht="19.5" customHeight="1" x14ac:dyDescent="0.2">
      <c r="B9" s="125" t="str">
        <f>Donnees!$C$23</f>
        <v>Tests</v>
      </c>
      <c r="C9" s="96">
        <v>30</v>
      </c>
      <c r="D9" s="86"/>
      <c r="E9" s="87"/>
      <c r="F9" s="88"/>
      <c r="G9" s="89"/>
      <c r="H9" s="87"/>
      <c r="I9" s="88"/>
      <c r="J9" s="89"/>
      <c r="K9" s="87"/>
      <c r="L9" s="88"/>
      <c r="M9" s="89"/>
      <c r="N9" s="87"/>
      <c r="O9" s="88"/>
      <c r="P9" s="89"/>
      <c r="Q9" s="87"/>
      <c r="R9" s="88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88"/>
      <c r="AN9" s="89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88"/>
      <c r="AZ9" s="89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89"/>
      <c r="CK9" s="87"/>
      <c r="CL9" s="88"/>
      <c r="CM9" s="89"/>
      <c r="CN9" s="87"/>
      <c r="CO9" s="88"/>
      <c r="CP9" s="89"/>
      <c r="CQ9" s="87"/>
      <c r="CR9" s="90"/>
      <c r="CS9" s="86"/>
      <c r="CT9" s="87"/>
      <c r="CU9" s="88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88"/>
      <c r="DH9" s="89"/>
      <c r="DI9" s="87"/>
      <c r="DJ9" s="88"/>
      <c r="DK9" s="89"/>
      <c r="DL9" s="87"/>
      <c r="DM9" s="88"/>
      <c r="DN9" s="89"/>
      <c r="DO9" s="87"/>
      <c r="DP9" s="88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88"/>
      <c r="GB9" s="89"/>
      <c r="GC9" s="87"/>
      <c r="GD9" s="88"/>
      <c r="GE9" s="89"/>
      <c r="GF9" s="87"/>
      <c r="GG9" s="90"/>
      <c r="GH9" s="86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88"/>
      <c r="HL9" s="89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88"/>
      <c r="JN9" s="89"/>
      <c r="JO9" s="109"/>
      <c r="JP9" s="110"/>
      <c r="JQ9" s="111"/>
      <c r="JR9" s="109"/>
      <c r="JS9" s="110"/>
      <c r="JT9" s="111"/>
      <c r="JU9" s="109"/>
      <c r="JV9" s="112"/>
      <c r="JW9" s="86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111"/>
      <c r="LH9" s="109"/>
      <c r="LI9" s="110"/>
      <c r="LJ9" s="89"/>
      <c r="LK9" s="87"/>
      <c r="LL9" s="88"/>
      <c r="LM9" s="89"/>
      <c r="LN9" s="87"/>
      <c r="LO9" s="88"/>
      <c r="LP9" s="89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88"/>
      <c r="MZ9" s="89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90"/>
      <c r="NL9" s="86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88"/>
      <c r="PT9" s="89"/>
      <c r="PU9" s="87"/>
      <c r="PV9" s="88"/>
      <c r="PW9" s="89"/>
      <c r="PX9" s="87"/>
      <c r="PY9" s="88"/>
      <c r="PZ9" s="89"/>
      <c r="QA9" s="87"/>
      <c r="QB9" s="110"/>
      <c r="QC9" s="111"/>
      <c r="QD9" s="109"/>
      <c r="QE9" s="110"/>
      <c r="QF9" s="111"/>
      <c r="QG9" s="109"/>
      <c r="QH9" s="110"/>
      <c r="QI9" s="111"/>
      <c r="QJ9" s="109"/>
      <c r="QK9" s="110"/>
      <c r="QL9" s="111"/>
      <c r="QM9" s="109"/>
      <c r="QN9" s="110"/>
      <c r="QO9" s="89"/>
      <c r="QP9" s="87"/>
      <c r="QQ9" s="88"/>
      <c r="QR9" s="89"/>
      <c r="QS9" s="87"/>
      <c r="QT9" s="88"/>
      <c r="QU9" s="89"/>
      <c r="QV9" s="87"/>
      <c r="QW9" s="88"/>
      <c r="QX9" s="89"/>
      <c r="QY9" s="87"/>
      <c r="QZ9" s="90"/>
      <c r="RA9" s="108"/>
      <c r="RB9" s="109"/>
      <c r="RC9" s="110"/>
      <c r="RD9" s="111"/>
      <c r="RE9" s="109"/>
      <c r="RF9" s="110"/>
      <c r="RG9" s="89"/>
      <c r="RH9" s="87"/>
      <c r="RI9" s="88"/>
      <c r="RJ9" s="89"/>
      <c r="RK9" s="87"/>
      <c r="RL9" s="88"/>
      <c r="RM9" s="89"/>
      <c r="RN9" s="87"/>
      <c r="RO9" s="88"/>
      <c r="RP9" s="89"/>
      <c r="RQ9" s="87"/>
      <c r="RR9" s="88"/>
      <c r="RS9" s="89"/>
      <c r="RT9" s="87"/>
      <c r="RU9" s="88"/>
      <c r="RV9" s="89"/>
      <c r="RW9" s="87"/>
      <c r="RX9" s="88"/>
      <c r="RY9" s="89"/>
      <c r="RZ9" s="87"/>
      <c r="SA9" s="88"/>
      <c r="SB9" s="89"/>
      <c r="SC9" s="87"/>
      <c r="SD9" s="88"/>
      <c r="SE9" s="89"/>
      <c r="SF9" s="87"/>
      <c r="SG9" s="88"/>
      <c r="SH9" s="89"/>
      <c r="SI9" s="87"/>
      <c r="SJ9" s="88"/>
      <c r="SK9" s="89"/>
      <c r="SL9" s="87"/>
      <c r="SM9" s="88"/>
      <c r="SN9" s="89"/>
      <c r="SO9" s="87"/>
      <c r="SP9" s="88"/>
      <c r="SQ9" s="89"/>
      <c r="SR9" s="87"/>
      <c r="SS9" s="88"/>
      <c r="ST9" s="89"/>
      <c r="SU9" s="87"/>
      <c r="SV9" s="88"/>
      <c r="SW9" s="89"/>
      <c r="SX9" s="87"/>
      <c r="SY9" s="88"/>
      <c r="SZ9" s="89"/>
      <c r="TA9" s="87"/>
      <c r="TB9" s="88"/>
      <c r="TC9" s="89"/>
      <c r="TD9" s="87"/>
      <c r="TE9" s="88"/>
      <c r="TF9" s="89"/>
      <c r="TG9" s="87"/>
      <c r="TH9" s="88"/>
      <c r="TI9" s="89"/>
      <c r="TJ9" s="87"/>
      <c r="TK9" s="88"/>
      <c r="TL9" s="89"/>
      <c r="TM9" s="87"/>
      <c r="TN9" s="88"/>
      <c r="TO9" s="89"/>
      <c r="TP9" s="87"/>
      <c r="TQ9" s="88"/>
      <c r="TR9" s="89"/>
      <c r="TS9" s="87"/>
      <c r="TT9" s="88"/>
      <c r="TU9" s="89"/>
      <c r="TV9" s="87"/>
      <c r="TW9" s="88"/>
      <c r="TX9" s="89"/>
      <c r="TY9" s="87"/>
      <c r="TZ9" s="88"/>
      <c r="UA9" s="89"/>
      <c r="UB9" s="87"/>
      <c r="UC9" s="88"/>
      <c r="UD9" s="89"/>
      <c r="UE9" s="87"/>
      <c r="UF9" s="88"/>
      <c r="UG9" s="89"/>
      <c r="UH9" s="87"/>
      <c r="UI9" s="88"/>
      <c r="UJ9" s="89"/>
      <c r="UK9" s="87"/>
      <c r="UL9" s="88"/>
      <c r="UM9" s="89"/>
      <c r="UN9" s="87"/>
      <c r="UO9" s="90"/>
    </row>
    <row r="10" spans="1:561" ht="19.5" customHeight="1" thickBot="1" x14ac:dyDescent="0.25">
      <c r="B10" s="126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3"/>
      <c r="M10" s="94"/>
      <c r="N10" s="92"/>
      <c r="O10" s="93"/>
      <c r="P10" s="94"/>
      <c r="Q10" s="92"/>
      <c r="R10" s="93"/>
      <c r="S10" s="94"/>
      <c r="T10" s="92"/>
      <c r="U10" s="93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94"/>
      <c r="AI10" s="92"/>
      <c r="AJ10" s="93"/>
      <c r="AK10" s="94"/>
      <c r="AL10" s="92"/>
      <c r="AM10" s="93"/>
      <c r="AN10" s="94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3"/>
      <c r="CP10" s="94"/>
      <c r="CQ10" s="92"/>
      <c r="CR10" s="95"/>
      <c r="CS10" s="91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3"/>
      <c r="DH10" s="94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3"/>
      <c r="GB10" s="94"/>
      <c r="GC10" s="92"/>
      <c r="GD10" s="93"/>
      <c r="GE10" s="94"/>
      <c r="GF10" s="92"/>
      <c r="GG10" s="95"/>
      <c r="GH10" s="91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3"/>
      <c r="HL10" s="94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3"/>
      <c r="JN10" s="94"/>
      <c r="JO10" s="92"/>
      <c r="JP10" s="93"/>
      <c r="JQ10" s="94"/>
      <c r="JR10" s="92"/>
      <c r="JS10" s="93"/>
      <c r="JT10" s="94"/>
      <c r="JU10" s="92"/>
      <c r="JV10" s="95"/>
      <c r="JW10" s="91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3"/>
      <c r="LP10" s="94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3"/>
      <c r="MZ10" s="94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5"/>
      <c r="NL10" s="91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3"/>
      <c r="PT10" s="94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3"/>
      <c r="QL10" s="94"/>
      <c r="QM10" s="92"/>
      <c r="QN10" s="93"/>
      <c r="QO10" s="94"/>
      <c r="QP10" s="92"/>
      <c r="QQ10" s="93"/>
      <c r="QR10" s="94"/>
      <c r="QS10" s="92"/>
      <c r="QT10" s="93"/>
      <c r="QU10" s="94"/>
      <c r="QV10" s="92"/>
      <c r="QW10" s="93"/>
      <c r="QX10" s="94"/>
      <c r="QY10" s="92"/>
      <c r="QZ10" s="95"/>
      <c r="RA10" s="91"/>
      <c r="RB10" s="92"/>
      <c r="RC10" s="93"/>
      <c r="RD10" s="94"/>
      <c r="RE10" s="92"/>
      <c r="RF10" s="93"/>
      <c r="RG10" s="94"/>
      <c r="RH10" s="92"/>
      <c r="RI10" s="93"/>
      <c r="RJ10" s="94"/>
      <c r="RK10" s="92"/>
      <c r="RL10" s="93"/>
      <c r="RM10" s="94"/>
      <c r="RN10" s="92"/>
      <c r="RO10" s="93"/>
      <c r="RP10" s="94"/>
      <c r="RQ10" s="92"/>
      <c r="RR10" s="93"/>
      <c r="RS10" s="94"/>
      <c r="RT10" s="92"/>
      <c r="RU10" s="93"/>
      <c r="RV10" s="94"/>
      <c r="RW10" s="92"/>
      <c r="RX10" s="93"/>
      <c r="RY10" s="94"/>
      <c r="RZ10" s="92"/>
      <c r="SA10" s="93"/>
      <c r="SB10" s="94"/>
      <c r="SC10" s="92"/>
      <c r="SD10" s="93"/>
      <c r="SE10" s="94"/>
      <c r="SF10" s="92"/>
      <c r="SG10" s="93"/>
      <c r="SH10" s="94"/>
      <c r="SI10" s="92"/>
      <c r="SJ10" s="93"/>
      <c r="SK10" s="94"/>
      <c r="SL10" s="92"/>
      <c r="SM10" s="93"/>
      <c r="SN10" s="94"/>
      <c r="SO10" s="92"/>
      <c r="SP10" s="93"/>
      <c r="SQ10" s="94"/>
      <c r="SR10" s="92"/>
      <c r="SS10" s="93"/>
      <c r="ST10" s="94"/>
      <c r="SU10" s="92"/>
      <c r="SV10" s="93"/>
      <c r="SW10" s="94"/>
      <c r="SX10" s="92"/>
      <c r="SY10" s="93"/>
      <c r="SZ10" s="94"/>
      <c r="TA10" s="92"/>
      <c r="TB10" s="93"/>
      <c r="TC10" s="94"/>
      <c r="TD10" s="92"/>
      <c r="TE10" s="93"/>
      <c r="TF10" s="94"/>
      <c r="TG10" s="92"/>
      <c r="TH10" s="93"/>
      <c r="TI10" s="94"/>
      <c r="TJ10" s="92"/>
      <c r="TK10" s="93"/>
      <c r="TL10" s="94"/>
      <c r="TM10" s="92"/>
      <c r="TN10" s="93"/>
      <c r="TO10" s="94"/>
      <c r="TP10" s="92"/>
      <c r="TQ10" s="93"/>
      <c r="TR10" s="94"/>
      <c r="TS10" s="92"/>
      <c r="TT10" s="93"/>
      <c r="TU10" s="94"/>
      <c r="TV10" s="92"/>
      <c r="TW10" s="93"/>
      <c r="TX10" s="94"/>
      <c r="TY10" s="92"/>
      <c r="TZ10" s="93"/>
      <c r="UA10" s="94"/>
      <c r="UB10" s="92"/>
      <c r="UC10" s="93"/>
      <c r="UD10" s="94"/>
      <c r="UE10" s="92"/>
      <c r="UF10" s="93"/>
      <c r="UG10" s="94"/>
      <c r="UH10" s="92"/>
      <c r="UI10" s="93"/>
      <c r="UJ10" s="94"/>
      <c r="UK10" s="92"/>
      <c r="UL10" s="93"/>
      <c r="UM10" s="94"/>
      <c r="UN10" s="92"/>
      <c r="UO10" s="95"/>
    </row>
    <row r="11" spans="1:561" ht="19.5" customHeight="1" x14ac:dyDescent="0.2">
      <c r="B11" s="125" t="str">
        <f>Donnees!$C$24</f>
        <v>Documentation</v>
      </c>
      <c r="C11" s="96">
        <v>114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88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88"/>
      <c r="BL11" s="89"/>
      <c r="BM11" s="87"/>
      <c r="BN11" s="88"/>
      <c r="BO11" s="89"/>
      <c r="BP11" s="87"/>
      <c r="BQ11" s="88"/>
      <c r="BR11" s="89"/>
      <c r="BS11" s="87"/>
      <c r="BT11" s="88"/>
      <c r="BU11" s="89"/>
      <c r="BV11" s="109"/>
      <c r="BW11" s="110"/>
      <c r="BX11" s="111"/>
      <c r="BY11" s="109"/>
      <c r="BZ11" s="110"/>
      <c r="CA11" s="111"/>
      <c r="CB11" s="109"/>
      <c r="CC11" s="110"/>
      <c r="CD11" s="111"/>
      <c r="CE11" s="109"/>
      <c r="CF11" s="110"/>
      <c r="CG11" s="111"/>
      <c r="CH11" s="109"/>
      <c r="CI11" s="110"/>
      <c r="CJ11" s="111"/>
      <c r="CK11" s="109"/>
      <c r="CL11" s="110"/>
      <c r="CM11" s="111"/>
      <c r="CN11" s="109"/>
      <c r="CO11" s="110"/>
      <c r="CP11" s="89"/>
      <c r="CQ11" s="87"/>
      <c r="CR11" s="90"/>
      <c r="CS11" s="108"/>
      <c r="CT11" s="109"/>
      <c r="CU11" s="110"/>
      <c r="CV11" s="111"/>
      <c r="CW11" s="109"/>
      <c r="CX11" s="110"/>
      <c r="CY11" s="111"/>
      <c r="CZ11" s="109"/>
      <c r="DA11" s="110"/>
      <c r="DB11" s="111"/>
      <c r="DC11" s="109"/>
      <c r="DD11" s="110"/>
      <c r="DE11" s="111"/>
      <c r="DF11" s="109"/>
      <c r="DG11" s="110"/>
      <c r="DH11" s="111"/>
      <c r="DI11" s="109"/>
      <c r="DJ11" s="110"/>
      <c r="DK11" s="111"/>
      <c r="DL11" s="109"/>
      <c r="DM11" s="110"/>
      <c r="DN11" s="111"/>
      <c r="DO11" s="109"/>
      <c r="DP11" s="110"/>
      <c r="DQ11" s="111"/>
      <c r="DR11" s="109"/>
      <c r="DS11" s="110"/>
      <c r="DT11" s="111"/>
      <c r="DU11" s="109"/>
      <c r="DV11" s="110"/>
      <c r="DW11" s="111"/>
      <c r="DX11" s="109"/>
      <c r="DY11" s="110"/>
      <c r="DZ11" s="89"/>
      <c r="EA11" s="87"/>
      <c r="EB11" s="88"/>
      <c r="EC11" s="89"/>
      <c r="ED11" s="87"/>
      <c r="EE11" s="88"/>
      <c r="EF11" s="89"/>
      <c r="EG11" s="87"/>
      <c r="EH11" s="88"/>
      <c r="EI11" s="89"/>
      <c r="EJ11" s="87"/>
      <c r="EK11" s="88"/>
      <c r="EL11" s="89"/>
      <c r="EM11" s="87"/>
      <c r="EN11" s="88"/>
      <c r="EO11" s="89"/>
      <c r="EP11" s="87"/>
      <c r="EQ11" s="88"/>
      <c r="ER11" s="89"/>
      <c r="ES11" s="87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88"/>
      <c r="FG11" s="89"/>
      <c r="FH11" s="87"/>
      <c r="FI11" s="110"/>
      <c r="FJ11" s="111"/>
      <c r="FK11" s="109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88"/>
      <c r="GB11" s="89"/>
      <c r="GC11" s="87"/>
      <c r="GD11" s="88"/>
      <c r="GE11" s="89"/>
      <c r="GF11" s="87"/>
      <c r="GG11" s="90"/>
      <c r="GH11" s="86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88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88"/>
      <c r="HL11" s="89"/>
      <c r="HM11" s="87"/>
      <c r="HN11" s="88"/>
      <c r="HO11" s="89"/>
      <c r="HP11" s="87"/>
      <c r="HQ11" s="88"/>
      <c r="HR11" s="89"/>
      <c r="HS11" s="87"/>
      <c r="HT11" s="88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88"/>
      <c r="IV11" s="89"/>
      <c r="IW11" s="87"/>
      <c r="IX11" s="88"/>
      <c r="IY11" s="89"/>
      <c r="IZ11" s="87"/>
      <c r="JA11" s="88"/>
      <c r="JB11" s="111"/>
      <c r="JC11" s="109"/>
      <c r="JD11" s="110"/>
      <c r="JE11" s="111"/>
      <c r="JF11" s="109"/>
      <c r="JG11" s="110"/>
      <c r="JH11" s="111"/>
      <c r="JI11" s="109"/>
      <c r="JJ11" s="110"/>
      <c r="JK11" s="111"/>
      <c r="JL11" s="109"/>
      <c r="JM11" s="110"/>
      <c r="JN11" s="111"/>
      <c r="JO11" s="87"/>
      <c r="JP11" s="88"/>
      <c r="JQ11" s="89"/>
      <c r="JR11" s="87"/>
      <c r="JS11" s="88"/>
      <c r="JT11" s="89"/>
      <c r="JU11" s="87"/>
      <c r="JV11" s="90"/>
      <c r="JW11" s="86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88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109"/>
      <c r="KW11" s="110"/>
      <c r="KX11" s="111"/>
      <c r="KY11" s="109"/>
      <c r="KZ11" s="110"/>
      <c r="LA11" s="111"/>
      <c r="LB11" s="109"/>
      <c r="LC11" s="110"/>
      <c r="LD11" s="111"/>
      <c r="LE11" s="109"/>
      <c r="LF11" s="110"/>
      <c r="LG11" s="89"/>
      <c r="LH11" s="87"/>
      <c r="LI11" s="88"/>
      <c r="LJ11" s="89"/>
      <c r="LK11" s="87"/>
      <c r="LL11" s="88"/>
      <c r="LM11" s="89"/>
      <c r="LN11" s="87"/>
      <c r="LO11" s="88"/>
      <c r="LP11" s="89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88"/>
      <c r="MZ11" s="89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90"/>
      <c r="NL11" s="86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88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88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109"/>
      <c r="PP11" s="110"/>
      <c r="PQ11" s="111"/>
      <c r="PR11" s="109"/>
      <c r="PS11" s="110"/>
      <c r="PT11" s="111"/>
      <c r="PU11" s="109"/>
      <c r="PV11" s="110"/>
      <c r="PW11" s="111"/>
      <c r="PX11" s="109"/>
      <c r="PY11" s="110"/>
      <c r="PZ11" s="111"/>
      <c r="QA11" s="109"/>
      <c r="QB11" s="88"/>
      <c r="QC11" s="89"/>
      <c r="QD11" s="87"/>
      <c r="QE11" s="88"/>
      <c r="QF11" s="89"/>
      <c r="QG11" s="87"/>
      <c r="QH11" s="88"/>
      <c r="QI11" s="89"/>
      <c r="QJ11" s="87"/>
      <c r="QK11" s="88"/>
      <c r="QL11" s="89"/>
      <c r="QM11" s="87"/>
      <c r="QN11" s="88"/>
      <c r="QO11" s="89"/>
      <c r="QP11" s="87"/>
      <c r="QQ11" s="88"/>
      <c r="QR11" s="89"/>
      <c r="QS11" s="87"/>
      <c r="QT11" s="88"/>
      <c r="QU11" s="89"/>
      <c r="QV11" s="87"/>
      <c r="QW11" s="88"/>
      <c r="QX11" s="89"/>
      <c r="QY11" s="87"/>
      <c r="QZ11" s="90"/>
      <c r="RA11" s="86"/>
      <c r="RB11" s="87"/>
      <c r="RC11" s="88"/>
      <c r="RD11" s="89"/>
      <c r="RE11" s="87"/>
      <c r="RF11" s="88"/>
      <c r="RG11" s="111"/>
      <c r="RH11" s="109"/>
      <c r="RI11" s="110"/>
      <c r="RJ11" s="111"/>
      <c r="RK11" s="109"/>
      <c r="RL11" s="110"/>
      <c r="RM11" s="111"/>
      <c r="RN11" s="109"/>
      <c r="RO11" s="110"/>
      <c r="RP11" s="111"/>
      <c r="RQ11" s="109"/>
      <c r="RR11" s="110"/>
      <c r="RS11" s="111"/>
      <c r="RT11" s="109"/>
      <c r="RU11" s="110"/>
      <c r="RV11" s="111"/>
      <c r="RW11" s="109"/>
      <c r="RX11" s="110"/>
      <c r="RY11" s="111"/>
      <c r="RZ11" s="109"/>
      <c r="SA11" s="110"/>
      <c r="SB11" s="89"/>
      <c r="SC11" s="87"/>
      <c r="SD11" s="88"/>
      <c r="SE11" s="89"/>
      <c r="SF11" s="87"/>
      <c r="SG11" s="88"/>
      <c r="SH11" s="89"/>
      <c r="SI11" s="87"/>
      <c r="SJ11" s="88"/>
      <c r="SK11" s="89"/>
      <c r="SL11" s="87"/>
      <c r="SM11" s="88"/>
      <c r="SN11" s="89"/>
      <c r="SO11" s="87"/>
      <c r="SP11" s="88"/>
      <c r="SQ11" s="89"/>
      <c r="SR11" s="87"/>
      <c r="SS11" s="88"/>
      <c r="ST11" s="89"/>
      <c r="SU11" s="87"/>
      <c r="SV11" s="88"/>
      <c r="SW11" s="89"/>
      <c r="SX11" s="87"/>
      <c r="SY11" s="88"/>
      <c r="SZ11" s="89"/>
      <c r="TA11" s="87"/>
      <c r="TB11" s="88"/>
      <c r="TC11" s="89"/>
      <c r="TD11" s="87"/>
      <c r="TE11" s="88"/>
      <c r="TF11" s="89"/>
      <c r="TG11" s="87"/>
      <c r="TH11" s="88"/>
      <c r="TI11" s="89"/>
      <c r="TJ11" s="87"/>
      <c r="TK11" s="88"/>
      <c r="TL11" s="89"/>
      <c r="TM11" s="87"/>
      <c r="TN11" s="88"/>
      <c r="TO11" s="89"/>
      <c r="TP11" s="87"/>
      <c r="TQ11" s="88"/>
      <c r="TR11" s="89"/>
      <c r="TS11" s="87"/>
      <c r="TT11" s="88"/>
      <c r="TU11" s="89"/>
      <c r="TV11" s="87"/>
      <c r="TW11" s="88"/>
      <c r="TX11" s="89"/>
      <c r="TY11" s="87"/>
      <c r="TZ11" s="88"/>
      <c r="UA11" s="89"/>
      <c r="UB11" s="87"/>
      <c r="UC11" s="88"/>
      <c r="UD11" s="89"/>
      <c r="UE11" s="87"/>
      <c r="UF11" s="88"/>
      <c r="UG11" s="89"/>
      <c r="UH11" s="87"/>
      <c r="UI11" s="88"/>
      <c r="UJ11" s="89"/>
      <c r="UK11" s="87"/>
      <c r="UL11" s="88"/>
      <c r="UM11" s="89"/>
      <c r="UN11" s="87"/>
      <c r="UO11" s="90"/>
    </row>
    <row r="12" spans="1:561" ht="19.5" customHeight="1" x14ac:dyDescent="0.2">
      <c r="B12" s="126"/>
      <c r="C12" s="97">
        <v>33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116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116"/>
      <c r="AH12" s="94"/>
      <c r="AI12" s="92"/>
      <c r="AJ12" s="93"/>
      <c r="AK12" s="94"/>
      <c r="AL12" s="92"/>
      <c r="AM12" s="93"/>
      <c r="AN12" s="94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3"/>
      <c r="AZ12" s="94"/>
      <c r="BA12" s="92"/>
      <c r="BB12" s="93"/>
      <c r="BC12" s="117"/>
      <c r="BD12" s="92"/>
      <c r="BE12" s="93"/>
      <c r="BF12" s="94"/>
      <c r="BG12" s="92"/>
      <c r="BH12" s="93"/>
      <c r="BI12" s="117"/>
      <c r="BJ12" s="115"/>
      <c r="BK12" s="116"/>
      <c r="BL12" s="117"/>
      <c r="BM12" s="115"/>
      <c r="BN12" s="116"/>
      <c r="BO12" s="117"/>
      <c r="BP12" s="115"/>
      <c r="BQ12" s="116"/>
      <c r="BR12" s="117"/>
      <c r="BS12" s="115"/>
      <c r="BT12" s="116"/>
      <c r="BU12" s="117"/>
      <c r="BV12" s="115"/>
      <c r="BW12" s="116"/>
      <c r="BX12" s="117"/>
      <c r="BY12" s="115"/>
      <c r="BZ12" s="116"/>
      <c r="CA12" s="117"/>
      <c r="CB12" s="115"/>
      <c r="CC12" s="93"/>
      <c r="CD12" s="94"/>
      <c r="CE12" s="92"/>
      <c r="CF12" s="116"/>
      <c r="CG12" s="94"/>
      <c r="CH12" s="92"/>
      <c r="CI12" s="93"/>
      <c r="CJ12" s="94"/>
      <c r="CK12" s="92"/>
      <c r="CL12" s="93"/>
      <c r="CM12" s="94"/>
      <c r="CN12" s="92"/>
      <c r="CO12" s="116"/>
      <c r="CP12" s="117"/>
      <c r="CQ12" s="115"/>
      <c r="CR12" s="118"/>
      <c r="CS12" s="114"/>
      <c r="CT12" s="115"/>
      <c r="CU12" s="116"/>
      <c r="CV12" s="117"/>
      <c r="CW12" s="115"/>
      <c r="CX12" s="93"/>
      <c r="CY12" s="94"/>
      <c r="CZ12" s="92"/>
      <c r="DA12" s="93"/>
      <c r="DB12" s="94"/>
      <c r="DC12" s="92"/>
      <c r="DD12" s="93"/>
      <c r="DE12" s="94"/>
      <c r="DF12" s="92"/>
      <c r="DG12" s="93"/>
      <c r="DH12" s="94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3"/>
      <c r="GB12" s="94"/>
      <c r="GC12" s="92"/>
      <c r="GD12" s="93"/>
      <c r="GE12" s="94"/>
      <c r="GF12" s="92"/>
      <c r="GG12" s="95"/>
      <c r="GH12" s="91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3"/>
      <c r="HL12" s="94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3"/>
      <c r="JN12" s="94"/>
      <c r="JO12" s="92"/>
      <c r="JP12" s="93"/>
      <c r="JQ12" s="94"/>
      <c r="JR12" s="92"/>
      <c r="JS12" s="93"/>
      <c r="JT12" s="94"/>
      <c r="JU12" s="92"/>
      <c r="JV12" s="95"/>
      <c r="JW12" s="91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3"/>
      <c r="LP12" s="94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3"/>
      <c r="MZ12" s="94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5"/>
      <c r="NL12" s="91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3"/>
      <c r="PT12" s="94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3"/>
      <c r="QL12" s="94"/>
      <c r="QM12" s="92"/>
      <c r="QN12" s="93"/>
      <c r="QO12" s="94"/>
      <c r="QP12" s="92"/>
      <c r="QQ12" s="93"/>
      <c r="QR12" s="94"/>
      <c r="QS12" s="92"/>
      <c r="QT12" s="93"/>
      <c r="QU12" s="94"/>
      <c r="QV12" s="92"/>
      <c r="QW12" s="93"/>
      <c r="QX12" s="94"/>
      <c r="QY12" s="92"/>
      <c r="QZ12" s="95"/>
      <c r="RA12" s="91"/>
      <c r="RB12" s="92"/>
      <c r="RC12" s="93"/>
      <c r="RD12" s="94"/>
      <c r="RE12" s="92"/>
      <c r="RF12" s="93"/>
      <c r="RG12" s="94"/>
      <c r="RH12" s="92"/>
      <c r="RI12" s="93"/>
      <c r="RJ12" s="94"/>
      <c r="RK12" s="92"/>
      <c r="RL12" s="93"/>
      <c r="RM12" s="94"/>
      <c r="RN12" s="92"/>
      <c r="RO12" s="93"/>
      <c r="RP12" s="94"/>
      <c r="RQ12" s="92"/>
      <c r="RR12" s="93"/>
      <c r="RS12" s="94"/>
      <c r="RT12" s="92"/>
      <c r="RU12" s="93"/>
      <c r="RV12" s="94"/>
      <c r="RW12" s="92"/>
      <c r="RX12" s="93"/>
      <c r="RY12" s="94"/>
      <c r="RZ12" s="92"/>
      <c r="SA12" s="93"/>
      <c r="SB12" s="94"/>
      <c r="SC12" s="92"/>
      <c r="SD12" s="93"/>
      <c r="SE12" s="94"/>
      <c r="SF12" s="92"/>
      <c r="SG12" s="93"/>
      <c r="SH12" s="94"/>
      <c r="SI12" s="92"/>
      <c r="SJ12" s="93"/>
      <c r="SK12" s="94"/>
      <c r="SL12" s="92"/>
      <c r="SM12" s="93"/>
      <c r="SN12" s="94"/>
      <c r="SO12" s="92"/>
      <c r="SP12" s="93"/>
      <c r="SQ12" s="94"/>
      <c r="SR12" s="92"/>
      <c r="SS12" s="93"/>
      <c r="ST12" s="94"/>
      <c r="SU12" s="92"/>
      <c r="SV12" s="93"/>
      <c r="SW12" s="94"/>
      <c r="SX12" s="92"/>
      <c r="SY12" s="93"/>
      <c r="SZ12" s="94"/>
      <c r="TA12" s="92"/>
      <c r="TB12" s="93"/>
      <c r="TC12" s="94"/>
      <c r="TD12" s="92"/>
      <c r="TE12" s="93"/>
      <c r="TF12" s="94"/>
      <c r="TG12" s="92"/>
      <c r="TH12" s="93"/>
      <c r="TI12" s="94"/>
      <c r="TJ12" s="92"/>
      <c r="TK12" s="93"/>
      <c r="TL12" s="94"/>
      <c r="TM12" s="92"/>
      <c r="TN12" s="93"/>
      <c r="TO12" s="94"/>
      <c r="TP12" s="92"/>
      <c r="TQ12" s="93"/>
      <c r="TR12" s="94"/>
      <c r="TS12" s="92"/>
      <c r="TT12" s="93"/>
      <c r="TU12" s="94"/>
      <c r="TV12" s="92"/>
      <c r="TW12" s="93"/>
      <c r="TX12" s="94"/>
      <c r="TY12" s="92"/>
      <c r="TZ12" s="93"/>
      <c r="UA12" s="94"/>
      <c r="UB12" s="92"/>
      <c r="UC12" s="93"/>
      <c r="UD12" s="94"/>
      <c r="UE12" s="92"/>
      <c r="UF12" s="93"/>
      <c r="UG12" s="94"/>
      <c r="UH12" s="92"/>
      <c r="UI12" s="93"/>
      <c r="UJ12" s="94"/>
      <c r="UK12" s="92"/>
      <c r="UL12" s="93"/>
      <c r="UM12" s="94"/>
      <c r="UN12" s="92"/>
      <c r="UO12" s="95"/>
    </row>
    <row r="13" spans="1:561" ht="19.5" customHeight="1" x14ac:dyDescent="0.2">
      <c r="B13" s="47" t="s">
        <v>16</v>
      </c>
      <c r="C13" s="49">
        <f>SUM($C$3,$C$5,$C$7,$C$9,$C$11)</f>
        <v>504</v>
      </c>
      <c r="D13" s="98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99"/>
      <c r="P13" s="99"/>
      <c r="Q13" s="99"/>
      <c r="R13" s="99"/>
      <c r="S13" s="99"/>
      <c r="T13" s="99"/>
      <c r="U13" s="99"/>
      <c r="V13" s="99"/>
      <c r="W13" s="99"/>
      <c r="X13" s="99"/>
      <c r="Y13" s="99"/>
      <c r="Z13" s="99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  <c r="AQ13" s="99"/>
      <c r="AR13" s="99"/>
      <c r="AS13" s="99"/>
      <c r="AT13" s="99"/>
      <c r="AU13" s="99"/>
      <c r="AV13" s="99"/>
      <c r="AW13" s="99"/>
      <c r="AX13" s="99"/>
      <c r="AY13" s="99"/>
      <c r="AZ13" s="99"/>
      <c r="BA13" s="99"/>
      <c r="BB13" s="99"/>
      <c r="BC13" s="99"/>
      <c r="BD13" s="99"/>
      <c r="BE13" s="99"/>
      <c r="BF13" s="99"/>
      <c r="BG13" s="99"/>
      <c r="BH13" s="99"/>
      <c r="BI13" s="99"/>
      <c r="BJ13" s="99"/>
      <c r="BK13" s="99"/>
      <c r="BL13" s="99"/>
      <c r="BM13" s="99"/>
      <c r="BN13" s="99"/>
      <c r="BO13" s="99"/>
      <c r="BP13" s="99"/>
      <c r="BQ13" s="99"/>
      <c r="BR13" s="99"/>
      <c r="BS13" s="99"/>
      <c r="BT13" s="99"/>
      <c r="BU13" s="99"/>
      <c r="BV13" s="99"/>
      <c r="BW13" s="99"/>
      <c r="BX13" s="99"/>
      <c r="BY13" s="99"/>
      <c r="BZ13" s="99"/>
      <c r="CA13" s="99"/>
      <c r="CB13" s="99"/>
      <c r="CC13" s="99"/>
      <c r="CD13" s="99"/>
      <c r="CE13" s="99"/>
      <c r="CF13" s="99"/>
      <c r="CG13" s="99"/>
      <c r="CH13" s="99"/>
      <c r="CI13" s="99"/>
      <c r="CJ13" s="99"/>
      <c r="CK13" s="99"/>
      <c r="CL13" s="99"/>
      <c r="CM13" s="99"/>
      <c r="CN13" s="99"/>
      <c r="CO13" s="99"/>
      <c r="CP13" s="99"/>
      <c r="CQ13" s="99"/>
      <c r="CR13" s="100"/>
      <c r="CS13" s="98"/>
      <c r="CT13" s="99"/>
      <c r="CU13" s="99"/>
      <c r="CV13" s="99"/>
      <c r="CW13" s="99"/>
      <c r="CX13" s="99"/>
      <c r="CY13" s="99"/>
      <c r="CZ13" s="99"/>
      <c r="DA13" s="99"/>
      <c r="DB13" s="99"/>
      <c r="DC13" s="99"/>
      <c r="DD13" s="99"/>
      <c r="DE13" s="99"/>
      <c r="DF13" s="99"/>
      <c r="DG13" s="99"/>
      <c r="DH13" s="99"/>
      <c r="DI13" s="99"/>
      <c r="DJ13" s="99"/>
      <c r="DK13" s="99"/>
      <c r="DL13" s="99"/>
      <c r="DM13" s="99"/>
      <c r="DN13" s="99"/>
      <c r="DO13" s="99"/>
      <c r="DP13" s="99"/>
      <c r="DQ13" s="99"/>
      <c r="DR13" s="99"/>
      <c r="DS13" s="99"/>
      <c r="DT13" s="99"/>
      <c r="DU13" s="99"/>
      <c r="DV13" s="99"/>
      <c r="DW13" s="99"/>
      <c r="DX13" s="99"/>
      <c r="DY13" s="99"/>
      <c r="DZ13" s="99"/>
      <c r="EA13" s="99"/>
      <c r="EB13" s="99"/>
      <c r="EC13" s="99"/>
      <c r="ED13" s="99"/>
      <c r="EE13" s="99"/>
      <c r="EF13" s="99"/>
      <c r="EG13" s="99"/>
      <c r="EH13" s="99"/>
      <c r="EI13" s="99"/>
      <c r="EJ13" s="99"/>
      <c r="EK13" s="99"/>
      <c r="EL13" s="99"/>
      <c r="EM13" s="99"/>
      <c r="EN13" s="99"/>
      <c r="EO13" s="99"/>
      <c r="EP13" s="99"/>
      <c r="EQ13" s="99"/>
      <c r="ER13" s="99"/>
      <c r="ES13" s="99"/>
      <c r="ET13" s="99"/>
      <c r="EU13" s="99"/>
      <c r="EV13" s="99"/>
      <c r="EW13" s="99"/>
      <c r="EX13" s="99"/>
      <c r="EY13" s="99"/>
      <c r="EZ13" s="99"/>
      <c r="FA13" s="99"/>
      <c r="FB13" s="99"/>
      <c r="FC13" s="99"/>
      <c r="FD13" s="99"/>
      <c r="FE13" s="99"/>
      <c r="FF13" s="99"/>
      <c r="FG13" s="99"/>
      <c r="FH13" s="99"/>
      <c r="FI13" s="99"/>
      <c r="FJ13" s="99"/>
      <c r="FK13" s="99"/>
      <c r="FL13" s="99"/>
      <c r="FM13" s="99"/>
      <c r="FN13" s="99"/>
      <c r="FO13" s="99"/>
      <c r="FP13" s="99"/>
      <c r="FQ13" s="99"/>
      <c r="FR13" s="99"/>
      <c r="FS13" s="99"/>
      <c r="FT13" s="99"/>
      <c r="FU13" s="99"/>
      <c r="FV13" s="99"/>
      <c r="FW13" s="99"/>
      <c r="FX13" s="99"/>
      <c r="FY13" s="99"/>
      <c r="FZ13" s="99"/>
      <c r="GA13" s="99"/>
      <c r="GB13" s="99"/>
      <c r="GC13" s="99"/>
      <c r="GD13" s="99"/>
      <c r="GE13" s="99"/>
      <c r="GF13" s="99"/>
      <c r="GG13" s="100"/>
      <c r="GH13" s="98"/>
      <c r="GI13" s="99"/>
      <c r="GJ13" s="99"/>
      <c r="GK13" s="99"/>
      <c r="GL13" s="99"/>
      <c r="GM13" s="99"/>
      <c r="GN13" s="99"/>
      <c r="GO13" s="99"/>
      <c r="GP13" s="99"/>
      <c r="GQ13" s="99"/>
      <c r="GR13" s="99"/>
      <c r="GS13" s="99"/>
      <c r="GT13" s="99"/>
      <c r="GU13" s="99"/>
      <c r="GV13" s="99"/>
      <c r="GW13" s="99"/>
      <c r="GX13" s="99"/>
      <c r="GY13" s="99"/>
      <c r="GZ13" s="99"/>
      <c r="HA13" s="99"/>
      <c r="HB13" s="99"/>
      <c r="HC13" s="99"/>
      <c r="HD13" s="99"/>
      <c r="HE13" s="99"/>
      <c r="HF13" s="99"/>
      <c r="HG13" s="99"/>
      <c r="HH13" s="99"/>
      <c r="HI13" s="99"/>
      <c r="HJ13" s="99"/>
      <c r="HK13" s="99"/>
      <c r="HL13" s="99"/>
      <c r="HM13" s="99"/>
      <c r="HN13" s="99"/>
      <c r="HO13" s="99"/>
      <c r="HP13" s="99"/>
      <c r="HQ13" s="99"/>
      <c r="HR13" s="99"/>
      <c r="HS13" s="99"/>
      <c r="HT13" s="99"/>
      <c r="HU13" s="99"/>
      <c r="HV13" s="99"/>
      <c r="HW13" s="99"/>
      <c r="HX13" s="99"/>
      <c r="HY13" s="99"/>
      <c r="HZ13" s="99"/>
      <c r="IA13" s="99"/>
      <c r="IB13" s="99"/>
      <c r="IC13" s="99"/>
      <c r="ID13" s="99"/>
      <c r="IE13" s="99"/>
      <c r="IF13" s="99"/>
      <c r="IG13" s="99"/>
      <c r="IH13" s="99"/>
      <c r="II13" s="99"/>
      <c r="IJ13" s="99"/>
      <c r="IK13" s="99"/>
      <c r="IL13" s="99"/>
      <c r="IM13" s="99"/>
      <c r="IN13" s="99"/>
      <c r="IO13" s="99"/>
      <c r="IP13" s="99"/>
      <c r="IQ13" s="99"/>
      <c r="IR13" s="99"/>
      <c r="IS13" s="99"/>
      <c r="IT13" s="99"/>
      <c r="IU13" s="99"/>
      <c r="IV13" s="99"/>
      <c r="IW13" s="99"/>
      <c r="IX13" s="99"/>
      <c r="IY13" s="99"/>
      <c r="IZ13" s="99"/>
      <c r="JA13" s="99"/>
      <c r="JB13" s="99"/>
      <c r="JC13" s="99"/>
      <c r="JD13" s="99"/>
      <c r="JE13" s="99"/>
      <c r="JF13" s="99"/>
      <c r="JG13" s="99"/>
      <c r="JH13" s="99"/>
      <c r="JI13" s="99"/>
      <c r="JJ13" s="99"/>
      <c r="JK13" s="99"/>
      <c r="JL13" s="99"/>
      <c r="JM13" s="99"/>
      <c r="JN13" s="99"/>
      <c r="JO13" s="99"/>
      <c r="JP13" s="99"/>
      <c r="JQ13" s="99"/>
      <c r="JR13" s="99"/>
      <c r="JS13" s="99"/>
      <c r="JT13" s="99"/>
      <c r="JU13" s="99"/>
      <c r="JV13" s="100"/>
      <c r="JW13" s="98"/>
      <c r="JX13" s="99"/>
      <c r="JY13" s="99"/>
      <c r="JZ13" s="99"/>
      <c r="KA13" s="99"/>
      <c r="KB13" s="99"/>
      <c r="KC13" s="99"/>
      <c r="KD13" s="99"/>
      <c r="KE13" s="99"/>
      <c r="KF13" s="99"/>
      <c r="KG13" s="99"/>
      <c r="KH13" s="99"/>
      <c r="KI13" s="99"/>
      <c r="KJ13" s="99"/>
      <c r="KK13" s="99"/>
      <c r="KL13" s="99"/>
      <c r="KM13" s="99"/>
      <c r="KN13" s="99"/>
      <c r="KO13" s="99"/>
      <c r="KP13" s="99"/>
      <c r="KQ13" s="99"/>
      <c r="KR13" s="99"/>
      <c r="KS13" s="99"/>
      <c r="KT13" s="99"/>
      <c r="KU13" s="99"/>
      <c r="KV13" s="99"/>
      <c r="KW13" s="99"/>
      <c r="KX13" s="99"/>
      <c r="KY13" s="99"/>
      <c r="KZ13" s="99"/>
      <c r="LA13" s="99"/>
      <c r="LB13" s="99"/>
      <c r="LC13" s="99"/>
      <c r="LD13" s="99"/>
      <c r="LE13" s="99"/>
      <c r="LF13" s="99"/>
      <c r="LG13" s="99"/>
      <c r="LH13" s="99"/>
      <c r="LI13" s="99"/>
      <c r="LJ13" s="99"/>
      <c r="LK13" s="99"/>
      <c r="LL13" s="99"/>
      <c r="LM13" s="99"/>
      <c r="LN13" s="99"/>
      <c r="LO13" s="99"/>
      <c r="LP13" s="99"/>
      <c r="LQ13" s="99"/>
      <c r="LR13" s="99"/>
      <c r="LS13" s="99"/>
      <c r="LT13" s="99"/>
      <c r="LU13" s="99"/>
      <c r="LV13" s="99"/>
      <c r="LW13" s="99"/>
      <c r="LX13" s="99"/>
      <c r="LY13" s="99"/>
      <c r="LZ13" s="99"/>
      <c r="MA13" s="99"/>
      <c r="MB13" s="99"/>
      <c r="MC13" s="99"/>
      <c r="MD13" s="99"/>
      <c r="ME13" s="99"/>
      <c r="MF13" s="99"/>
      <c r="MG13" s="99"/>
      <c r="MH13" s="99"/>
      <c r="MI13" s="99"/>
      <c r="MJ13" s="99"/>
      <c r="MK13" s="99"/>
      <c r="ML13" s="99"/>
      <c r="MM13" s="99"/>
      <c r="MN13" s="99"/>
      <c r="MO13" s="99"/>
      <c r="MP13" s="99"/>
      <c r="MQ13" s="99"/>
      <c r="MR13" s="99"/>
      <c r="MS13" s="99"/>
      <c r="MT13" s="99"/>
      <c r="MU13" s="99"/>
      <c r="MV13" s="99"/>
      <c r="MW13" s="99"/>
      <c r="MX13" s="99"/>
      <c r="MY13" s="99"/>
      <c r="MZ13" s="99"/>
      <c r="NA13" s="99"/>
      <c r="NB13" s="99"/>
      <c r="NC13" s="99"/>
      <c r="ND13" s="99"/>
      <c r="NE13" s="99"/>
      <c r="NF13" s="99"/>
      <c r="NG13" s="99"/>
      <c r="NH13" s="99"/>
      <c r="NI13" s="99"/>
      <c r="NJ13" s="99"/>
      <c r="NK13" s="100"/>
      <c r="NL13" s="98"/>
      <c r="NM13" s="99"/>
      <c r="NN13" s="99"/>
      <c r="NO13" s="99"/>
      <c r="NP13" s="99"/>
      <c r="NQ13" s="99"/>
      <c r="NR13" s="99"/>
      <c r="NS13" s="99"/>
      <c r="NT13" s="99"/>
      <c r="NU13" s="99"/>
      <c r="NV13" s="99"/>
      <c r="NW13" s="99"/>
      <c r="NX13" s="99"/>
      <c r="NY13" s="99"/>
      <c r="NZ13" s="99"/>
      <c r="OA13" s="99"/>
      <c r="OB13" s="99"/>
      <c r="OC13" s="99"/>
      <c r="OD13" s="99"/>
      <c r="OE13" s="99"/>
      <c r="OF13" s="99"/>
      <c r="OG13" s="99"/>
      <c r="OH13" s="99"/>
      <c r="OI13" s="99"/>
      <c r="OJ13" s="99"/>
      <c r="OK13" s="99"/>
      <c r="OL13" s="99"/>
      <c r="OM13" s="99"/>
      <c r="ON13" s="99"/>
      <c r="OO13" s="99"/>
      <c r="OP13" s="99"/>
      <c r="OQ13" s="99"/>
      <c r="OR13" s="99"/>
      <c r="OS13" s="99"/>
      <c r="OT13" s="99"/>
      <c r="OU13" s="99"/>
      <c r="OV13" s="99"/>
      <c r="OW13" s="99"/>
      <c r="OX13" s="99"/>
      <c r="OY13" s="99"/>
      <c r="OZ13" s="99"/>
      <c r="PA13" s="99"/>
      <c r="PB13" s="99"/>
      <c r="PC13" s="99"/>
      <c r="PD13" s="99"/>
      <c r="PE13" s="99"/>
      <c r="PF13" s="99"/>
      <c r="PG13" s="99"/>
      <c r="PH13" s="99"/>
      <c r="PI13" s="99"/>
      <c r="PJ13" s="99"/>
      <c r="PK13" s="99"/>
      <c r="PL13" s="99"/>
      <c r="PM13" s="99"/>
      <c r="PN13" s="99"/>
      <c r="PO13" s="99"/>
      <c r="PP13" s="99"/>
      <c r="PQ13" s="99"/>
      <c r="PR13" s="99"/>
      <c r="PS13" s="99"/>
      <c r="PT13" s="99"/>
      <c r="PU13" s="99"/>
      <c r="PV13" s="99"/>
      <c r="PW13" s="99"/>
      <c r="PX13" s="99"/>
      <c r="PY13" s="99"/>
      <c r="PZ13" s="99"/>
      <c r="QA13" s="99"/>
      <c r="QB13" s="99"/>
      <c r="QC13" s="99"/>
      <c r="QD13" s="99"/>
      <c r="QE13" s="99"/>
      <c r="QF13" s="99"/>
      <c r="QG13" s="99"/>
      <c r="QH13" s="99"/>
      <c r="QI13" s="99"/>
      <c r="QJ13" s="99"/>
      <c r="QK13" s="99"/>
      <c r="QL13" s="99"/>
      <c r="QM13" s="99"/>
      <c r="QN13" s="99"/>
      <c r="QO13" s="99"/>
      <c r="QP13" s="99"/>
      <c r="QQ13" s="99"/>
      <c r="QR13" s="99"/>
      <c r="QS13" s="99"/>
      <c r="QT13" s="99"/>
      <c r="QU13" s="99"/>
      <c r="QV13" s="99"/>
      <c r="QW13" s="99"/>
      <c r="QX13" s="99"/>
      <c r="QY13" s="99"/>
      <c r="QZ13" s="100"/>
      <c r="RA13" s="98"/>
      <c r="RB13" s="99"/>
      <c r="RC13" s="99"/>
      <c r="RD13" s="99"/>
      <c r="RE13" s="99"/>
      <c r="RF13" s="99"/>
      <c r="RG13" s="99"/>
      <c r="RH13" s="99"/>
      <c r="RI13" s="99"/>
      <c r="RJ13" s="99"/>
      <c r="RK13" s="99"/>
      <c r="RL13" s="99"/>
      <c r="RM13" s="99"/>
      <c r="RN13" s="99"/>
      <c r="RO13" s="99"/>
      <c r="RP13" s="99"/>
      <c r="RQ13" s="99"/>
      <c r="RR13" s="99"/>
      <c r="RS13" s="99"/>
      <c r="RT13" s="99"/>
      <c r="RU13" s="99"/>
      <c r="RV13" s="99"/>
      <c r="RW13" s="99"/>
      <c r="RX13" s="99"/>
      <c r="RY13" s="99"/>
      <c r="RZ13" s="99"/>
      <c r="SA13" s="99"/>
      <c r="SB13" s="99"/>
      <c r="SC13" s="99"/>
      <c r="SD13" s="99"/>
      <c r="SE13" s="99"/>
      <c r="SF13" s="99"/>
      <c r="SG13" s="99"/>
      <c r="SH13" s="99"/>
      <c r="SI13" s="99"/>
      <c r="SJ13" s="99"/>
      <c r="SK13" s="99"/>
      <c r="SL13" s="99"/>
      <c r="SM13" s="99"/>
      <c r="SN13" s="99"/>
      <c r="SO13" s="99"/>
      <c r="SP13" s="99"/>
      <c r="SQ13" s="99"/>
      <c r="SR13" s="99"/>
      <c r="SS13" s="99"/>
      <c r="ST13" s="99"/>
      <c r="SU13" s="99"/>
      <c r="SV13" s="99"/>
      <c r="SW13" s="99"/>
      <c r="SX13" s="99"/>
      <c r="SY13" s="99"/>
      <c r="SZ13" s="99"/>
      <c r="TA13" s="99"/>
      <c r="TB13" s="99"/>
      <c r="TC13" s="99"/>
      <c r="TD13" s="99"/>
      <c r="TE13" s="99"/>
      <c r="TF13" s="99"/>
      <c r="TG13" s="99"/>
      <c r="TH13" s="99"/>
      <c r="TI13" s="99"/>
      <c r="TJ13" s="99"/>
      <c r="TK13" s="99"/>
      <c r="TL13" s="99"/>
      <c r="TM13" s="99"/>
      <c r="TN13" s="99"/>
      <c r="TO13" s="99"/>
      <c r="TP13" s="99"/>
      <c r="TQ13" s="99"/>
      <c r="TR13" s="99"/>
      <c r="TS13" s="99"/>
      <c r="TT13" s="99"/>
      <c r="TU13" s="99"/>
      <c r="TV13" s="99"/>
      <c r="TW13" s="99"/>
      <c r="TX13" s="99"/>
      <c r="TY13" s="99"/>
      <c r="TZ13" s="99"/>
      <c r="UA13" s="99"/>
      <c r="UB13" s="99"/>
      <c r="UC13" s="99"/>
      <c r="UD13" s="99"/>
      <c r="UE13" s="99"/>
      <c r="UF13" s="99"/>
      <c r="UG13" s="99"/>
      <c r="UH13" s="99"/>
      <c r="UI13" s="99"/>
      <c r="UJ13" s="99"/>
      <c r="UK13" s="99"/>
      <c r="UL13" s="99"/>
      <c r="UM13" s="99"/>
      <c r="UN13" s="99"/>
      <c r="UO13" s="100"/>
    </row>
    <row r="14" spans="1:561" ht="19.5" customHeight="1" thickBot="1" x14ac:dyDescent="0.25">
      <c r="B14" s="48" t="s">
        <v>17</v>
      </c>
      <c r="C14" s="50">
        <f>SUM($C$4,$C$6,$C$8,$C$10,$C$12)</f>
        <v>98</v>
      </c>
      <c r="D14" s="101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  <c r="AT14" s="102"/>
      <c r="AU14" s="102"/>
      <c r="AV14" s="102"/>
      <c r="AW14" s="102"/>
      <c r="AX14" s="102"/>
      <c r="AY14" s="102"/>
      <c r="AZ14" s="102"/>
      <c r="BA14" s="102"/>
      <c r="BB14" s="102"/>
      <c r="BC14" s="102"/>
      <c r="BD14" s="102"/>
      <c r="BE14" s="102"/>
      <c r="BF14" s="102"/>
      <c r="BG14" s="102"/>
      <c r="BH14" s="102"/>
      <c r="BI14" s="102"/>
      <c r="BJ14" s="102"/>
      <c r="BK14" s="102"/>
      <c r="BL14" s="102"/>
      <c r="BM14" s="102"/>
      <c r="BN14" s="102"/>
      <c r="BO14" s="102"/>
      <c r="BP14" s="102"/>
      <c r="BQ14" s="102"/>
      <c r="BR14" s="102"/>
      <c r="BS14" s="102"/>
      <c r="BT14" s="102"/>
      <c r="BU14" s="102"/>
      <c r="BV14" s="102"/>
      <c r="BW14" s="102"/>
      <c r="BX14" s="102"/>
      <c r="BY14" s="102"/>
      <c r="BZ14" s="102"/>
      <c r="CA14" s="102"/>
      <c r="CB14" s="102"/>
      <c r="CC14" s="102"/>
      <c r="CD14" s="102"/>
      <c r="CE14" s="102"/>
      <c r="CF14" s="102"/>
      <c r="CG14" s="102"/>
      <c r="CH14" s="102"/>
      <c r="CI14" s="102"/>
      <c r="CJ14" s="102"/>
      <c r="CK14" s="102"/>
      <c r="CL14" s="102"/>
      <c r="CM14" s="102"/>
      <c r="CN14" s="102"/>
      <c r="CO14" s="102"/>
      <c r="CP14" s="102"/>
      <c r="CQ14" s="102"/>
      <c r="CR14" s="103"/>
      <c r="CS14" s="101"/>
      <c r="CT14" s="102"/>
      <c r="CU14" s="102"/>
      <c r="CV14" s="102"/>
      <c r="CW14" s="102"/>
      <c r="CX14" s="102"/>
      <c r="CY14" s="102"/>
      <c r="CZ14" s="102"/>
      <c r="DA14" s="102"/>
      <c r="DB14" s="102"/>
      <c r="DC14" s="102"/>
      <c r="DD14" s="102"/>
      <c r="DE14" s="102"/>
      <c r="DF14" s="102"/>
      <c r="DG14" s="102"/>
      <c r="DH14" s="102"/>
      <c r="DI14" s="102"/>
      <c r="DJ14" s="102"/>
      <c r="DK14" s="102"/>
      <c r="DL14" s="102"/>
      <c r="DM14" s="102"/>
      <c r="DN14" s="102"/>
      <c r="DO14" s="102"/>
      <c r="DP14" s="102"/>
      <c r="DQ14" s="102"/>
      <c r="DR14" s="102"/>
      <c r="DS14" s="102"/>
      <c r="DT14" s="102"/>
      <c r="DU14" s="102"/>
      <c r="DV14" s="102"/>
      <c r="DW14" s="102"/>
      <c r="DX14" s="102"/>
      <c r="DY14" s="102"/>
      <c r="DZ14" s="102"/>
      <c r="EA14" s="102"/>
      <c r="EB14" s="102"/>
      <c r="EC14" s="102"/>
      <c r="ED14" s="102"/>
      <c r="EE14" s="102"/>
      <c r="EF14" s="102"/>
      <c r="EG14" s="102"/>
      <c r="EH14" s="102"/>
      <c r="EI14" s="102"/>
      <c r="EJ14" s="102"/>
      <c r="EK14" s="102"/>
      <c r="EL14" s="102"/>
      <c r="EM14" s="102"/>
      <c r="EN14" s="102"/>
      <c r="EO14" s="102"/>
      <c r="EP14" s="102"/>
      <c r="EQ14" s="102"/>
      <c r="ER14" s="102"/>
      <c r="ES14" s="102"/>
      <c r="ET14" s="102"/>
      <c r="EU14" s="102"/>
      <c r="EV14" s="102"/>
      <c r="EW14" s="102"/>
      <c r="EX14" s="102"/>
      <c r="EY14" s="102"/>
      <c r="EZ14" s="102"/>
      <c r="FA14" s="102"/>
      <c r="FB14" s="102"/>
      <c r="FC14" s="102"/>
      <c r="FD14" s="102"/>
      <c r="FE14" s="102"/>
      <c r="FF14" s="102"/>
      <c r="FG14" s="102"/>
      <c r="FH14" s="102"/>
      <c r="FI14" s="102"/>
      <c r="FJ14" s="102"/>
      <c r="FK14" s="102"/>
      <c r="FL14" s="102"/>
      <c r="FM14" s="102"/>
      <c r="FN14" s="102"/>
      <c r="FO14" s="102"/>
      <c r="FP14" s="102"/>
      <c r="FQ14" s="102"/>
      <c r="FR14" s="102"/>
      <c r="FS14" s="102"/>
      <c r="FT14" s="102"/>
      <c r="FU14" s="102"/>
      <c r="FV14" s="102"/>
      <c r="FW14" s="102"/>
      <c r="FX14" s="102"/>
      <c r="FY14" s="102"/>
      <c r="FZ14" s="102"/>
      <c r="GA14" s="102"/>
      <c r="GB14" s="102"/>
      <c r="GC14" s="102"/>
      <c r="GD14" s="102"/>
      <c r="GE14" s="102"/>
      <c r="GF14" s="102"/>
      <c r="GG14" s="103"/>
      <c r="GH14" s="101"/>
      <c r="GI14" s="102"/>
      <c r="GJ14" s="102"/>
      <c r="GK14" s="102"/>
      <c r="GL14" s="102"/>
      <c r="GM14" s="102"/>
      <c r="GN14" s="102"/>
      <c r="GO14" s="102"/>
      <c r="GP14" s="102"/>
      <c r="GQ14" s="102"/>
      <c r="GR14" s="102"/>
      <c r="GS14" s="102"/>
      <c r="GT14" s="102"/>
      <c r="GU14" s="102"/>
      <c r="GV14" s="102"/>
      <c r="GW14" s="102"/>
      <c r="GX14" s="102"/>
      <c r="GY14" s="102"/>
      <c r="GZ14" s="102"/>
      <c r="HA14" s="102"/>
      <c r="HB14" s="102"/>
      <c r="HC14" s="102"/>
      <c r="HD14" s="102"/>
      <c r="HE14" s="102"/>
      <c r="HF14" s="102"/>
      <c r="HG14" s="102"/>
      <c r="HH14" s="102"/>
      <c r="HI14" s="102"/>
      <c r="HJ14" s="102"/>
      <c r="HK14" s="102"/>
      <c r="HL14" s="102"/>
      <c r="HM14" s="102"/>
      <c r="HN14" s="102"/>
      <c r="HO14" s="102"/>
      <c r="HP14" s="102"/>
      <c r="HQ14" s="102"/>
      <c r="HR14" s="102"/>
      <c r="HS14" s="102"/>
      <c r="HT14" s="102"/>
      <c r="HU14" s="102"/>
      <c r="HV14" s="102"/>
      <c r="HW14" s="102"/>
      <c r="HX14" s="102"/>
      <c r="HY14" s="102"/>
      <c r="HZ14" s="102"/>
      <c r="IA14" s="102"/>
      <c r="IB14" s="102"/>
      <c r="IC14" s="102"/>
      <c r="ID14" s="102"/>
      <c r="IE14" s="102"/>
      <c r="IF14" s="102"/>
      <c r="IG14" s="102"/>
      <c r="IH14" s="102"/>
      <c r="II14" s="102"/>
      <c r="IJ14" s="102"/>
      <c r="IK14" s="102"/>
      <c r="IL14" s="102"/>
      <c r="IM14" s="102"/>
      <c r="IN14" s="102"/>
      <c r="IO14" s="102"/>
      <c r="IP14" s="102"/>
      <c r="IQ14" s="102"/>
      <c r="IR14" s="102"/>
      <c r="IS14" s="102"/>
      <c r="IT14" s="102"/>
      <c r="IU14" s="102"/>
      <c r="IV14" s="102"/>
      <c r="IW14" s="102"/>
      <c r="IX14" s="102"/>
      <c r="IY14" s="102"/>
      <c r="IZ14" s="102"/>
      <c r="JA14" s="102"/>
      <c r="JB14" s="102"/>
      <c r="JC14" s="102"/>
      <c r="JD14" s="102"/>
      <c r="JE14" s="102"/>
      <c r="JF14" s="102"/>
      <c r="JG14" s="102"/>
      <c r="JH14" s="102"/>
      <c r="JI14" s="102"/>
      <c r="JJ14" s="102"/>
      <c r="JK14" s="102"/>
      <c r="JL14" s="102"/>
      <c r="JM14" s="102"/>
      <c r="JN14" s="102"/>
      <c r="JO14" s="102"/>
      <c r="JP14" s="102"/>
      <c r="JQ14" s="102"/>
      <c r="JR14" s="102"/>
      <c r="JS14" s="102"/>
      <c r="JT14" s="102"/>
      <c r="JU14" s="102"/>
      <c r="JV14" s="103"/>
      <c r="JW14" s="101"/>
      <c r="JX14" s="102"/>
      <c r="JY14" s="102"/>
      <c r="JZ14" s="102"/>
      <c r="KA14" s="102"/>
      <c r="KB14" s="102"/>
      <c r="KC14" s="102"/>
      <c r="KD14" s="102"/>
      <c r="KE14" s="102"/>
      <c r="KF14" s="102"/>
      <c r="KG14" s="102"/>
      <c r="KH14" s="102"/>
      <c r="KI14" s="102"/>
      <c r="KJ14" s="102"/>
      <c r="KK14" s="102"/>
      <c r="KL14" s="102"/>
      <c r="KM14" s="102"/>
      <c r="KN14" s="102"/>
      <c r="KO14" s="102"/>
      <c r="KP14" s="102"/>
      <c r="KQ14" s="102"/>
      <c r="KR14" s="102"/>
      <c r="KS14" s="102"/>
      <c r="KT14" s="102"/>
      <c r="KU14" s="102"/>
      <c r="KV14" s="102"/>
      <c r="KW14" s="102"/>
      <c r="KX14" s="102"/>
      <c r="KY14" s="102"/>
      <c r="KZ14" s="102"/>
      <c r="LA14" s="102"/>
      <c r="LB14" s="102"/>
      <c r="LC14" s="102"/>
      <c r="LD14" s="102"/>
      <c r="LE14" s="102"/>
      <c r="LF14" s="102"/>
      <c r="LG14" s="102"/>
      <c r="LH14" s="102"/>
      <c r="LI14" s="102"/>
      <c r="LJ14" s="102"/>
      <c r="LK14" s="102"/>
      <c r="LL14" s="102"/>
      <c r="LM14" s="102"/>
      <c r="LN14" s="102"/>
      <c r="LO14" s="102"/>
      <c r="LP14" s="102"/>
      <c r="LQ14" s="102"/>
      <c r="LR14" s="102"/>
      <c r="LS14" s="102"/>
      <c r="LT14" s="102"/>
      <c r="LU14" s="102"/>
      <c r="LV14" s="102"/>
      <c r="LW14" s="102"/>
      <c r="LX14" s="102"/>
      <c r="LY14" s="102"/>
      <c r="LZ14" s="102"/>
      <c r="MA14" s="102"/>
      <c r="MB14" s="102"/>
      <c r="MC14" s="102"/>
      <c r="MD14" s="102"/>
      <c r="ME14" s="102"/>
      <c r="MF14" s="102"/>
      <c r="MG14" s="102"/>
      <c r="MH14" s="102"/>
      <c r="MI14" s="102"/>
      <c r="MJ14" s="102"/>
      <c r="MK14" s="102"/>
      <c r="ML14" s="102"/>
      <c r="MM14" s="102"/>
      <c r="MN14" s="102"/>
      <c r="MO14" s="102"/>
      <c r="MP14" s="102"/>
      <c r="MQ14" s="102"/>
      <c r="MR14" s="102"/>
      <c r="MS14" s="102"/>
      <c r="MT14" s="102"/>
      <c r="MU14" s="102"/>
      <c r="MV14" s="102"/>
      <c r="MW14" s="102"/>
      <c r="MX14" s="102"/>
      <c r="MY14" s="102"/>
      <c r="MZ14" s="102"/>
      <c r="NA14" s="102"/>
      <c r="NB14" s="102"/>
      <c r="NC14" s="102"/>
      <c r="ND14" s="102"/>
      <c r="NE14" s="102"/>
      <c r="NF14" s="102"/>
      <c r="NG14" s="102"/>
      <c r="NH14" s="102"/>
      <c r="NI14" s="102"/>
      <c r="NJ14" s="102"/>
      <c r="NK14" s="103"/>
      <c r="NL14" s="101"/>
      <c r="NM14" s="102"/>
      <c r="NN14" s="102"/>
      <c r="NO14" s="102"/>
      <c r="NP14" s="102"/>
      <c r="NQ14" s="102"/>
      <c r="NR14" s="102"/>
      <c r="NS14" s="102"/>
      <c r="NT14" s="102"/>
      <c r="NU14" s="102"/>
      <c r="NV14" s="102"/>
      <c r="NW14" s="102"/>
      <c r="NX14" s="102"/>
      <c r="NY14" s="102"/>
      <c r="NZ14" s="102"/>
      <c r="OA14" s="102"/>
      <c r="OB14" s="102"/>
      <c r="OC14" s="102"/>
      <c r="OD14" s="102"/>
      <c r="OE14" s="102"/>
      <c r="OF14" s="102"/>
      <c r="OG14" s="102"/>
      <c r="OH14" s="102"/>
      <c r="OI14" s="102"/>
      <c r="OJ14" s="102"/>
      <c r="OK14" s="102"/>
      <c r="OL14" s="102"/>
      <c r="OM14" s="102"/>
      <c r="ON14" s="102"/>
      <c r="OO14" s="102"/>
      <c r="OP14" s="102"/>
      <c r="OQ14" s="102"/>
      <c r="OR14" s="102"/>
      <c r="OS14" s="102"/>
      <c r="OT14" s="102"/>
      <c r="OU14" s="102"/>
      <c r="OV14" s="102"/>
      <c r="OW14" s="102"/>
      <c r="OX14" s="102"/>
      <c r="OY14" s="102"/>
      <c r="OZ14" s="102"/>
      <c r="PA14" s="102"/>
      <c r="PB14" s="102"/>
      <c r="PC14" s="102"/>
      <c r="PD14" s="102"/>
      <c r="PE14" s="102"/>
      <c r="PF14" s="102"/>
      <c r="PG14" s="102"/>
      <c r="PH14" s="102"/>
      <c r="PI14" s="102"/>
      <c r="PJ14" s="102"/>
      <c r="PK14" s="102"/>
      <c r="PL14" s="102"/>
      <c r="PM14" s="102"/>
      <c r="PN14" s="102"/>
      <c r="PO14" s="102"/>
      <c r="PP14" s="102"/>
      <c r="PQ14" s="102"/>
      <c r="PR14" s="102"/>
      <c r="PS14" s="102"/>
      <c r="PT14" s="102"/>
      <c r="PU14" s="102"/>
      <c r="PV14" s="102"/>
      <c r="PW14" s="102"/>
      <c r="PX14" s="102"/>
      <c r="PY14" s="102"/>
      <c r="PZ14" s="102"/>
      <c r="QA14" s="102"/>
      <c r="QB14" s="102"/>
      <c r="QC14" s="102"/>
      <c r="QD14" s="102"/>
      <c r="QE14" s="102"/>
      <c r="QF14" s="102"/>
      <c r="QG14" s="102"/>
      <c r="QH14" s="102"/>
      <c r="QI14" s="102"/>
      <c r="QJ14" s="102"/>
      <c r="QK14" s="102"/>
      <c r="QL14" s="102"/>
      <c r="QM14" s="102"/>
      <c r="QN14" s="102"/>
      <c r="QO14" s="102"/>
      <c r="QP14" s="102"/>
      <c r="QQ14" s="102"/>
      <c r="QR14" s="102"/>
      <c r="QS14" s="102"/>
      <c r="QT14" s="102"/>
      <c r="QU14" s="102"/>
      <c r="QV14" s="102"/>
      <c r="QW14" s="102"/>
      <c r="QX14" s="102"/>
      <c r="QY14" s="102"/>
      <c r="QZ14" s="103"/>
      <c r="RA14" s="101"/>
      <c r="RB14" s="102"/>
      <c r="RC14" s="102"/>
      <c r="RD14" s="102"/>
      <c r="RE14" s="102"/>
      <c r="RF14" s="102"/>
      <c r="RG14" s="102"/>
      <c r="RH14" s="102"/>
      <c r="RI14" s="102"/>
      <c r="RJ14" s="102"/>
      <c r="RK14" s="102"/>
      <c r="RL14" s="102"/>
      <c r="RM14" s="102"/>
      <c r="RN14" s="102"/>
      <c r="RO14" s="102"/>
      <c r="RP14" s="102"/>
      <c r="RQ14" s="102"/>
      <c r="RR14" s="102"/>
      <c r="RS14" s="102"/>
      <c r="RT14" s="102"/>
      <c r="RU14" s="102"/>
      <c r="RV14" s="102"/>
      <c r="RW14" s="102"/>
      <c r="RX14" s="102"/>
      <c r="RY14" s="102"/>
      <c r="RZ14" s="102"/>
      <c r="SA14" s="102"/>
      <c r="SB14" s="102"/>
      <c r="SC14" s="102"/>
      <c r="SD14" s="102"/>
      <c r="SE14" s="102"/>
      <c r="SF14" s="102"/>
      <c r="SG14" s="102"/>
      <c r="SH14" s="102"/>
      <c r="SI14" s="102"/>
      <c r="SJ14" s="102"/>
      <c r="SK14" s="102"/>
      <c r="SL14" s="102"/>
      <c r="SM14" s="102"/>
      <c r="SN14" s="102"/>
      <c r="SO14" s="102"/>
      <c r="SP14" s="102"/>
      <c r="SQ14" s="102"/>
      <c r="SR14" s="102"/>
      <c r="SS14" s="102"/>
      <c r="ST14" s="102"/>
      <c r="SU14" s="102"/>
      <c r="SV14" s="102"/>
      <c r="SW14" s="102"/>
      <c r="SX14" s="102"/>
      <c r="SY14" s="102"/>
      <c r="SZ14" s="102"/>
      <c r="TA14" s="102"/>
      <c r="TB14" s="102"/>
      <c r="TC14" s="102"/>
      <c r="TD14" s="102"/>
      <c r="TE14" s="102"/>
      <c r="TF14" s="102"/>
      <c r="TG14" s="102"/>
      <c r="TH14" s="102"/>
      <c r="TI14" s="102"/>
      <c r="TJ14" s="102"/>
      <c r="TK14" s="102"/>
      <c r="TL14" s="102"/>
      <c r="TM14" s="102"/>
      <c r="TN14" s="102"/>
      <c r="TO14" s="102"/>
      <c r="TP14" s="102"/>
      <c r="TQ14" s="102"/>
      <c r="TR14" s="102"/>
      <c r="TS14" s="102"/>
      <c r="TT14" s="102"/>
      <c r="TU14" s="102"/>
      <c r="TV14" s="102"/>
      <c r="TW14" s="102"/>
      <c r="TX14" s="102"/>
      <c r="TY14" s="102"/>
      <c r="TZ14" s="102"/>
      <c r="UA14" s="102"/>
      <c r="UB14" s="102"/>
      <c r="UC14" s="102"/>
      <c r="UD14" s="102"/>
      <c r="UE14" s="102"/>
      <c r="UF14" s="102"/>
      <c r="UG14" s="102"/>
      <c r="UH14" s="102"/>
      <c r="UI14" s="102"/>
      <c r="UJ14" s="102"/>
      <c r="UK14" s="102"/>
      <c r="UL14" s="102"/>
      <c r="UM14" s="102"/>
      <c r="UN14" s="102"/>
      <c r="UO14" s="103"/>
    </row>
    <row r="15" spans="1:561" ht="19.5" customHeight="1" x14ac:dyDescent="0.2">
      <c r="C15" s="104"/>
    </row>
    <row r="16" spans="1:561" ht="19.5" customHeight="1" x14ac:dyDescent="0.2">
      <c r="A16" s="105"/>
    </row>
  </sheetData>
  <sheetProtection sheet="1" objects="1" scenarios="1" insertRows="0" selectLockedCells="1"/>
  <mergeCells count="11">
    <mergeCell ref="RA2:UO2"/>
    <mergeCell ref="B11:B12"/>
    <mergeCell ref="CS2:GG2"/>
    <mergeCell ref="GH2:JV2"/>
    <mergeCell ref="JW2:NK2"/>
    <mergeCell ref="NL2:QZ2"/>
    <mergeCell ref="D2:CR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30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40" zoomScale="130" zoomScaleNormal="100" zoomScaleSheetLayoutView="130" workbookViewId="0">
      <selection activeCell="C63" sqref="B63:C6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25</v>
      </c>
      <c r="C3" s="13" t="s">
        <v>40</v>
      </c>
      <c r="D3" s="13"/>
    </row>
    <row r="4" spans="1:4" s="81" customFormat="1" ht="13.5" x14ac:dyDescent="0.2">
      <c r="A4" s="5" t="s">
        <v>28</v>
      </c>
      <c r="B4" s="6">
        <v>7</v>
      </c>
      <c r="C4" s="14" t="s">
        <v>41</v>
      </c>
      <c r="D4" s="14"/>
    </row>
    <row r="5" spans="1:4" s="81" customFormat="1" ht="27" x14ac:dyDescent="0.2">
      <c r="A5" s="5" t="s">
        <v>28</v>
      </c>
      <c r="B5" s="6">
        <v>38</v>
      </c>
      <c r="C5" s="14" t="s">
        <v>58</v>
      </c>
      <c r="D5" s="14"/>
    </row>
    <row r="6" spans="1:4" s="81" customFormat="1" ht="13.5" x14ac:dyDescent="0.2">
      <c r="A6" s="5" t="s">
        <v>31</v>
      </c>
      <c r="B6" s="6">
        <v>18</v>
      </c>
      <c r="C6" s="14" t="s">
        <v>42</v>
      </c>
      <c r="D6" s="14"/>
    </row>
    <row r="7" spans="1:4" s="81" customFormat="1" ht="13.5" x14ac:dyDescent="0.2">
      <c r="A7" s="5" t="s">
        <v>31</v>
      </c>
      <c r="B7" s="6">
        <v>2</v>
      </c>
      <c r="C7" s="14" t="s">
        <v>44</v>
      </c>
      <c r="D7" s="14"/>
    </row>
    <row r="8" spans="1:4" s="81" customFormat="1" ht="13.5" x14ac:dyDescent="0.2">
      <c r="A8" s="5" t="s">
        <v>28</v>
      </c>
      <c r="B8" s="6">
        <v>3</v>
      </c>
      <c r="C8" s="14" t="s">
        <v>43</v>
      </c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106" t="s">
        <v>38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9" t="s">
        <v>31</v>
      </c>
      <c r="B17" s="8">
        <v>23</v>
      </c>
      <c r="C17" s="14" t="s">
        <v>54</v>
      </c>
      <c r="D17" s="13"/>
    </row>
    <row r="18" spans="1:9" ht="13.5" x14ac:dyDescent="0.2">
      <c r="A18" s="5" t="s">
        <v>31</v>
      </c>
      <c r="B18" s="6">
        <v>10</v>
      </c>
      <c r="C18" s="14" t="s">
        <v>42</v>
      </c>
      <c r="D18" s="14"/>
    </row>
    <row r="19" spans="1:9" ht="13.5" x14ac:dyDescent="0.2">
      <c r="A19" s="5" t="s">
        <v>29</v>
      </c>
      <c r="B19" s="6">
        <v>15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29</v>
      </c>
      <c r="B20" s="6">
        <v>10</v>
      </c>
      <c r="C20" s="14" t="s">
        <v>53</v>
      </c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10</v>
      </c>
      <c r="C21" s="14" t="s">
        <v>52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31</v>
      </c>
      <c r="B22" s="6">
        <v>3</v>
      </c>
      <c r="C22" s="14" t="s">
        <v>44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 t="s">
        <v>29</v>
      </c>
      <c r="B24" s="6">
        <v>22</v>
      </c>
      <c r="C24" s="14" t="s">
        <v>51</v>
      </c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106" t="s">
        <v>38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29</v>
      </c>
      <c r="B31" s="8">
        <v>72</v>
      </c>
      <c r="C31" s="13" t="s">
        <v>59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31</v>
      </c>
      <c r="B32" s="6">
        <v>10</v>
      </c>
      <c r="C32" s="14" t="s">
        <v>46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31</v>
      </c>
      <c r="B33" s="6">
        <v>3</v>
      </c>
      <c r="C33" s="14" t="s">
        <v>44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30</v>
      </c>
      <c r="B34" s="6">
        <v>8</v>
      </c>
      <c r="C34" s="14" t="s">
        <v>47</v>
      </c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106" t="s">
        <v>38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29</v>
      </c>
      <c r="B45" s="8">
        <v>25</v>
      </c>
      <c r="C45" s="13" t="s">
        <v>50</v>
      </c>
      <c r="D45" s="13"/>
    </row>
    <row r="46" spans="1:9" ht="13.5" x14ac:dyDescent="0.2">
      <c r="A46" s="5" t="s">
        <v>31</v>
      </c>
      <c r="B46" s="6">
        <v>8</v>
      </c>
      <c r="C46" s="14" t="s">
        <v>46</v>
      </c>
      <c r="D46" s="14"/>
    </row>
    <row r="47" spans="1:9" ht="13.5" x14ac:dyDescent="0.2">
      <c r="A47" s="5" t="s">
        <v>31</v>
      </c>
      <c r="B47" s="6">
        <v>3</v>
      </c>
      <c r="C47" s="14" t="s">
        <v>44</v>
      </c>
      <c r="D47" s="14"/>
    </row>
    <row r="48" spans="1:9" ht="13.5" x14ac:dyDescent="0.2">
      <c r="A48" s="5" t="s">
        <v>30</v>
      </c>
      <c r="B48" s="6">
        <v>3</v>
      </c>
      <c r="C48" s="14" t="s">
        <v>47</v>
      </c>
      <c r="D48" s="14"/>
    </row>
    <row r="49" spans="1:4" ht="13.5" x14ac:dyDescent="0.2">
      <c r="A49" s="5" t="s">
        <v>21</v>
      </c>
      <c r="B49" s="6">
        <v>54</v>
      </c>
      <c r="C49" s="14" t="s">
        <v>57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106" t="s">
        <v>38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29</v>
      </c>
      <c r="B59" s="8">
        <v>55</v>
      </c>
      <c r="C59" s="13" t="s">
        <v>50</v>
      </c>
      <c r="D59" s="13"/>
    </row>
    <row r="60" spans="1:4" ht="13.5" x14ac:dyDescent="0.2">
      <c r="A60" s="5" t="s">
        <v>31</v>
      </c>
      <c r="B60" s="6">
        <v>10</v>
      </c>
      <c r="C60" s="14" t="s">
        <v>46</v>
      </c>
      <c r="D60" s="14"/>
    </row>
    <row r="61" spans="1:4" ht="13.5" x14ac:dyDescent="0.2">
      <c r="A61" s="5" t="s">
        <v>31</v>
      </c>
      <c r="B61" s="6">
        <v>3</v>
      </c>
      <c r="C61" s="14" t="s">
        <v>44</v>
      </c>
      <c r="D61" s="14"/>
    </row>
    <row r="62" spans="1:4" ht="13.5" x14ac:dyDescent="0.2">
      <c r="A62" s="5" t="s">
        <v>30</v>
      </c>
      <c r="B62" s="6">
        <v>13</v>
      </c>
      <c r="C62" s="14" t="s">
        <v>47</v>
      </c>
      <c r="D62" s="14"/>
    </row>
    <row r="63" spans="1:4" ht="13.5" x14ac:dyDescent="0.2">
      <c r="A63" s="5" t="s">
        <v>21</v>
      </c>
      <c r="B63" s="6">
        <v>12</v>
      </c>
      <c r="C63" s="14" t="s">
        <v>56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106" t="s">
        <v>38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30</v>
      </c>
      <c r="B73" s="8">
        <v>6</v>
      </c>
      <c r="C73" s="13" t="s">
        <v>48</v>
      </c>
      <c r="D73" s="13"/>
    </row>
    <row r="74" spans="1:4" ht="13.5" x14ac:dyDescent="0.2">
      <c r="A74" s="5" t="s">
        <v>31</v>
      </c>
      <c r="B74" s="6">
        <v>18</v>
      </c>
      <c r="C74" s="14" t="s">
        <v>49</v>
      </c>
      <c r="D74" s="14"/>
    </row>
    <row r="75" spans="1:4" ht="13.5" x14ac:dyDescent="0.2">
      <c r="A75" s="5" t="s">
        <v>31</v>
      </c>
      <c r="B75" s="6">
        <v>3</v>
      </c>
      <c r="C75" s="14" t="s">
        <v>44</v>
      </c>
      <c r="D75" s="14"/>
    </row>
    <row r="76" spans="1:4" ht="13.5" x14ac:dyDescent="0.2">
      <c r="A76" s="5" t="s">
        <v>21</v>
      </c>
      <c r="B76" s="6">
        <v>12</v>
      </c>
      <c r="C76" s="14" t="s">
        <v>55</v>
      </c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39</v>
      </c>
      <c r="C83" s="106" t="s">
        <v>38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107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17:A22 A24:A2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17:B22 B24:B2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22"/>
  <sheetViews>
    <sheetView tabSelected="1" zoomScale="130" zoomScaleNormal="130" zoomScaleSheetLayoutView="145" workbookViewId="0">
      <selection activeCell="C10" sqref="C1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customHeight="1" thickBot="1" x14ac:dyDescent="0.25">
      <c r="A3" s="131" t="s">
        <v>64</v>
      </c>
      <c r="B3" s="132"/>
      <c r="C3" s="133"/>
      <c r="D3" s="13"/>
    </row>
    <row r="4" spans="1:4" s="81" customFormat="1" ht="27" x14ac:dyDescent="0.2">
      <c r="A4" s="5" t="s">
        <v>28</v>
      </c>
      <c r="B4" s="6">
        <v>1</v>
      </c>
      <c r="C4" s="14" t="s">
        <v>60</v>
      </c>
      <c r="D4" s="14"/>
    </row>
    <row r="5" spans="1:4" s="81" customFormat="1" ht="13.5" x14ac:dyDescent="0.2">
      <c r="A5" s="5" t="s">
        <v>28</v>
      </c>
      <c r="B5" s="6">
        <v>7</v>
      </c>
      <c r="C5" s="14" t="s">
        <v>66</v>
      </c>
      <c r="D5" s="14"/>
    </row>
    <row r="6" spans="1:4" s="81" customFormat="1" ht="13.5" x14ac:dyDescent="0.2">
      <c r="A6" s="5" t="s">
        <v>28</v>
      </c>
      <c r="B6" s="6">
        <v>3</v>
      </c>
      <c r="C6" s="14" t="s">
        <v>43</v>
      </c>
      <c r="D6" s="14"/>
    </row>
    <row r="7" spans="1:4" s="81" customFormat="1" ht="14.25" thickBot="1" x14ac:dyDescent="0.25">
      <c r="A7" s="5" t="s">
        <v>31</v>
      </c>
      <c r="B7" s="6">
        <v>1</v>
      </c>
      <c r="C7" s="14" t="s">
        <v>44</v>
      </c>
      <c r="D7" s="14"/>
    </row>
    <row r="8" spans="1:4" s="81" customFormat="1" ht="15.75" thickBot="1" x14ac:dyDescent="0.25">
      <c r="A8" s="131" t="s">
        <v>67</v>
      </c>
      <c r="B8" s="132"/>
      <c r="C8" s="133"/>
      <c r="D8" s="14"/>
    </row>
    <row r="9" spans="1:4" s="81" customFormat="1" ht="13.5" x14ac:dyDescent="0.2">
      <c r="A9" s="5" t="s">
        <v>28</v>
      </c>
      <c r="B9" s="6">
        <v>12</v>
      </c>
      <c r="C9" s="14" t="s">
        <v>65</v>
      </c>
      <c r="D9" s="14"/>
    </row>
    <row r="10" spans="1:4" s="81" customFormat="1" ht="27" x14ac:dyDescent="0.2">
      <c r="A10" s="5" t="s">
        <v>28</v>
      </c>
      <c r="B10" s="6">
        <v>3</v>
      </c>
      <c r="C10" s="14" t="s">
        <v>69</v>
      </c>
      <c r="D10" s="14" t="s">
        <v>82</v>
      </c>
    </row>
    <row r="11" spans="1:4" s="81" customFormat="1" ht="27" x14ac:dyDescent="0.2">
      <c r="A11" s="5" t="s">
        <v>28</v>
      </c>
      <c r="B11" s="6">
        <v>2</v>
      </c>
      <c r="C11" s="14" t="s">
        <v>70</v>
      </c>
      <c r="D11" s="14" t="s">
        <v>68</v>
      </c>
    </row>
    <row r="12" spans="1:4" s="81" customFormat="1" ht="27.75" thickBot="1" x14ac:dyDescent="0.25">
      <c r="A12" s="79"/>
      <c r="B12" s="79">
        <v>9</v>
      </c>
      <c r="C12" s="80" t="s">
        <v>71</v>
      </c>
      <c r="D12" s="14" t="s">
        <v>72</v>
      </c>
    </row>
    <row r="13" spans="1:4" s="81" customFormat="1" ht="15.75" thickBot="1" x14ac:dyDescent="0.25">
      <c r="A13" s="131" t="s">
        <v>73</v>
      </c>
      <c r="B13" s="132"/>
      <c r="C13" s="133"/>
      <c r="D13" s="14"/>
    </row>
    <row r="14" spans="1:4" s="81" customFormat="1" ht="13.5" x14ac:dyDescent="0.2">
      <c r="A14" s="6" t="s">
        <v>28</v>
      </c>
      <c r="B14" s="6">
        <v>3</v>
      </c>
      <c r="C14" s="14" t="s">
        <v>74</v>
      </c>
      <c r="D14" s="14" t="s">
        <v>72</v>
      </c>
    </row>
    <row r="15" spans="1:4" s="81" customFormat="1" ht="13.5" x14ac:dyDescent="0.2">
      <c r="A15" s="79" t="s">
        <v>21</v>
      </c>
      <c r="B15" s="6">
        <v>18</v>
      </c>
      <c r="C15" s="14" t="s">
        <v>40</v>
      </c>
      <c r="D15" s="80"/>
    </row>
    <row r="16" spans="1:4" s="81" customFormat="1" ht="13.5" x14ac:dyDescent="0.2">
      <c r="A16" s="79" t="s">
        <v>31</v>
      </c>
      <c r="B16" s="79">
        <v>1</v>
      </c>
      <c r="C16" s="80" t="s">
        <v>75</v>
      </c>
      <c r="D16" s="80"/>
    </row>
    <row r="17" spans="1:9" s="81" customFormat="1" ht="41.25" thickBot="1" x14ac:dyDescent="0.25">
      <c r="A17" s="79" t="s">
        <v>28</v>
      </c>
      <c r="B17" s="79">
        <v>5</v>
      </c>
      <c r="C17" s="80" t="s">
        <v>61</v>
      </c>
      <c r="D17" s="80" t="s">
        <v>76</v>
      </c>
    </row>
    <row r="18" spans="1:9" s="81" customFormat="1" ht="15.75" thickBot="1" x14ac:dyDescent="0.25">
      <c r="A18" s="131" t="s">
        <v>77</v>
      </c>
      <c r="B18" s="132"/>
      <c r="C18" s="133"/>
      <c r="D18" s="80"/>
    </row>
    <row r="19" spans="1:9" s="81" customFormat="1" ht="27" x14ac:dyDescent="0.2">
      <c r="A19" s="79" t="s">
        <v>31</v>
      </c>
      <c r="B19" s="79">
        <v>19</v>
      </c>
      <c r="C19" s="80" t="s">
        <v>78</v>
      </c>
      <c r="D19" s="80"/>
    </row>
    <row r="20" spans="1:9" s="81" customFormat="1" ht="13.5" x14ac:dyDescent="0.2">
      <c r="A20" s="79" t="s">
        <v>21</v>
      </c>
      <c r="B20" s="79">
        <v>2</v>
      </c>
      <c r="C20" s="80" t="s">
        <v>80</v>
      </c>
      <c r="D20" s="80"/>
    </row>
    <row r="21" spans="1:9" s="81" customFormat="1" ht="13.5" x14ac:dyDescent="0.2">
      <c r="A21" s="79" t="s">
        <v>28</v>
      </c>
      <c r="B21" s="79">
        <v>3</v>
      </c>
      <c r="C21" s="80" t="s">
        <v>62</v>
      </c>
      <c r="D21" s="80" t="s">
        <v>79</v>
      </c>
    </row>
    <row r="22" spans="1:9" s="81" customFormat="1" ht="13.5" x14ac:dyDescent="0.2">
      <c r="A22" s="79" t="s">
        <v>31</v>
      </c>
      <c r="B22" s="79">
        <v>1</v>
      </c>
      <c r="C22" s="80" t="s">
        <v>44</v>
      </c>
      <c r="D22" s="80"/>
    </row>
    <row r="23" spans="1:9" s="81" customFormat="1" ht="14.25" thickBot="1" x14ac:dyDescent="0.25">
      <c r="A23" s="79" t="s">
        <v>28</v>
      </c>
      <c r="B23" s="79">
        <v>3</v>
      </c>
      <c r="C23" s="80" t="s">
        <v>83</v>
      </c>
      <c r="D23" s="14" t="s">
        <v>72</v>
      </c>
    </row>
    <row r="24" spans="1:9" ht="14.25" thickBot="1" x14ac:dyDescent="0.25">
      <c r="A24" s="76" t="s">
        <v>22</v>
      </c>
      <c r="B24" s="76">
        <f>SUM(B3:B23)</f>
        <v>93</v>
      </c>
      <c r="C24" s="113" t="s">
        <v>38</v>
      </c>
      <c r="D24" s="77"/>
    </row>
    <row r="25" spans="1:9" ht="15" thickBot="1" x14ac:dyDescent="0.35">
      <c r="A25" s="78"/>
      <c r="B25" s="78"/>
      <c r="C25" s="78"/>
      <c r="D25" s="78"/>
    </row>
    <row r="26" spans="1:9" ht="18.75" thickBot="1" x14ac:dyDescent="0.25">
      <c r="A26" s="71" t="s">
        <v>14</v>
      </c>
      <c r="B26" s="72">
        <v>2</v>
      </c>
      <c r="C26" s="73" t="s">
        <v>23</v>
      </c>
      <c r="D26" s="82">
        <v>42863</v>
      </c>
    </row>
    <row r="27" spans="1:9" ht="27.75" thickBot="1" x14ac:dyDescent="0.25">
      <c r="A27" s="74" t="s">
        <v>3</v>
      </c>
      <c r="B27" s="75" t="s">
        <v>15</v>
      </c>
      <c r="C27" s="74" t="s">
        <v>7</v>
      </c>
      <c r="D27" s="74" t="s">
        <v>13</v>
      </c>
    </row>
    <row r="28" spans="1:9" ht="15.75" thickBot="1" x14ac:dyDescent="0.25">
      <c r="A28" s="131" t="s">
        <v>64</v>
      </c>
      <c r="B28" s="132"/>
      <c r="C28" s="133"/>
      <c r="D28" s="119"/>
    </row>
    <row r="29" spans="1:9" ht="67.5" x14ac:dyDescent="0.2">
      <c r="A29" s="9" t="s">
        <v>28</v>
      </c>
      <c r="B29" s="8">
        <v>5</v>
      </c>
      <c r="C29" s="13" t="s">
        <v>81</v>
      </c>
      <c r="D29" s="13"/>
    </row>
    <row r="30" spans="1:9" ht="14.25" thickBot="1" x14ac:dyDescent="0.25">
      <c r="A30" s="5" t="s">
        <v>31</v>
      </c>
      <c r="B30" s="6">
        <v>7</v>
      </c>
      <c r="C30" s="14" t="s">
        <v>63</v>
      </c>
      <c r="D30" s="14"/>
    </row>
    <row r="31" spans="1:9" ht="15.75" thickBot="1" x14ac:dyDescent="0.25">
      <c r="A31" s="131" t="s">
        <v>67</v>
      </c>
      <c r="B31" s="132"/>
      <c r="C31" s="133"/>
      <c r="D31" s="14"/>
    </row>
    <row r="32" spans="1:9" ht="12.75" customHeight="1" x14ac:dyDescent="0.2">
      <c r="A32" s="5" t="s">
        <v>28</v>
      </c>
      <c r="B32" s="6">
        <v>4</v>
      </c>
      <c r="C32" s="14" t="s">
        <v>84</v>
      </c>
      <c r="D32" s="14"/>
      <c r="E32" s="37"/>
      <c r="F32" s="54"/>
      <c r="G32" s="55"/>
      <c r="H32" s="56"/>
      <c r="I32" s="37"/>
    </row>
    <row r="33" spans="1:9" ht="27" x14ac:dyDescent="0.2">
      <c r="A33" s="5" t="s">
        <v>31</v>
      </c>
      <c r="B33" s="6">
        <v>2</v>
      </c>
      <c r="C33" s="14" t="s">
        <v>85</v>
      </c>
      <c r="D33" s="14"/>
      <c r="E33" s="37"/>
      <c r="F33" s="57"/>
      <c r="G33" s="53"/>
      <c r="H33" s="53"/>
      <c r="I33" s="37"/>
    </row>
    <row r="34" spans="1:9" ht="13.5" x14ac:dyDescent="0.2">
      <c r="A34" s="5" t="s">
        <v>31</v>
      </c>
      <c r="B34" s="6">
        <v>8</v>
      </c>
      <c r="C34" s="14" t="s">
        <v>86</v>
      </c>
      <c r="D34" s="14"/>
      <c r="E34" s="37"/>
      <c r="F34" s="59"/>
      <c r="G34" s="60"/>
      <c r="H34" s="60"/>
      <c r="I34" s="37"/>
    </row>
    <row r="35" spans="1:9" ht="13.5" x14ac:dyDescent="0.2">
      <c r="A35" s="5" t="s">
        <v>29</v>
      </c>
      <c r="B35" s="6">
        <v>2</v>
      </c>
      <c r="C35" s="14" t="s">
        <v>87</v>
      </c>
      <c r="D35" s="14"/>
      <c r="E35" s="37"/>
      <c r="F35" s="59"/>
      <c r="G35" s="60"/>
      <c r="H35" s="60"/>
      <c r="I35" s="37"/>
    </row>
    <row r="36" spans="1:9" ht="13.5" x14ac:dyDescent="0.2">
      <c r="A36" s="5" t="s">
        <v>31</v>
      </c>
      <c r="B36" s="6">
        <v>9</v>
      </c>
      <c r="C36" s="14" t="s">
        <v>88</v>
      </c>
      <c r="D36" s="14"/>
      <c r="E36" s="37"/>
      <c r="F36" s="59"/>
      <c r="G36" s="60"/>
      <c r="H36" s="60"/>
      <c r="I36" s="37"/>
    </row>
    <row r="37" spans="1:9" ht="13.5" x14ac:dyDescent="0.2">
      <c r="A37" s="5" t="s">
        <v>31</v>
      </c>
      <c r="B37" s="6">
        <v>2</v>
      </c>
      <c r="C37" s="14" t="s">
        <v>44</v>
      </c>
      <c r="D37" s="14"/>
      <c r="E37" s="37"/>
      <c r="F37" s="59"/>
      <c r="G37" s="60"/>
      <c r="H37" s="60"/>
      <c r="I37" s="37"/>
    </row>
    <row r="38" spans="1:9" ht="13.5" x14ac:dyDescent="0.2">
      <c r="A38" s="6"/>
      <c r="B38" s="6"/>
      <c r="C38" s="14"/>
      <c r="D38" s="14"/>
      <c r="E38" s="37"/>
      <c r="F38" s="59"/>
      <c r="G38" s="60"/>
      <c r="H38" s="60"/>
      <c r="I38" s="37"/>
    </row>
    <row r="39" spans="1:9" ht="13.5" x14ac:dyDescent="0.2">
      <c r="A39" s="6"/>
      <c r="B39" s="6"/>
      <c r="C39" s="14"/>
      <c r="D39" s="14"/>
      <c r="E39" s="37"/>
      <c r="F39" s="59"/>
      <c r="G39" s="60"/>
      <c r="H39" s="60"/>
      <c r="I39" s="37"/>
    </row>
    <row r="40" spans="1:9" ht="13.5" x14ac:dyDescent="0.2">
      <c r="A40" s="6"/>
      <c r="B40" s="6"/>
      <c r="C40" s="14"/>
      <c r="D40" s="14"/>
      <c r="E40" s="37"/>
      <c r="F40" s="59"/>
      <c r="G40" s="60"/>
      <c r="H40" s="60"/>
      <c r="I40" s="37"/>
    </row>
    <row r="41" spans="1:9" ht="13.5" x14ac:dyDescent="0.2">
      <c r="A41" s="79"/>
      <c r="B41" s="79"/>
      <c r="C41" s="80"/>
      <c r="D41" s="80"/>
      <c r="E41" s="37"/>
      <c r="F41" s="59"/>
      <c r="G41" s="60"/>
      <c r="H41" s="60"/>
      <c r="I41" s="37"/>
    </row>
    <row r="42" spans="1:9" ht="13.5" x14ac:dyDescent="0.2">
      <c r="A42" s="79"/>
      <c r="B42" s="79"/>
      <c r="C42" s="80"/>
      <c r="D42" s="80"/>
      <c r="E42" s="37"/>
      <c r="F42" s="61"/>
      <c r="G42" s="62"/>
      <c r="H42" s="62"/>
      <c r="I42" s="37"/>
    </row>
    <row r="43" spans="1:9" ht="15" thickBot="1" x14ac:dyDescent="0.35">
      <c r="A43" s="7"/>
      <c r="B43" s="7"/>
      <c r="C43" s="15"/>
      <c r="D43" s="15"/>
      <c r="E43" s="37"/>
      <c r="F43" s="63"/>
      <c r="G43" s="63"/>
      <c r="H43" s="63"/>
      <c r="I43" s="37"/>
    </row>
    <row r="44" spans="1:9" ht="14.25" thickBot="1" x14ac:dyDescent="0.25">
      <c r="A44" s="76" t="s">
        <v>22</v>
      </c>
      <c r="B44" s="76">
        <f>SUM(B29:B43)</f>
        <v>39</v>
      </c>
      <c r="C44" s="113" t="s">
        <v>38</v>
      </c>
      <c r="D44" s="77"/>
      <c r="E44" s="37"/>
      <c r="F44" s="37"/>
      <c r="G44" s="37"/>
      <c r="H44" s="37"/>
      <c r="I44" s="37"/>
    </row>
    <row r="45" spans="1:9" ht="15" thickBot="1" x14ac:dyDescent="0.35">
      <c r="A45" s="78"/>
      <c r="B45" s="78"/>
      <c r="C45" s="78"/>
      <c r="D45" s="78"/>
      <c r="E45" s="37"/>
      <c r="F45" s="37"/>
      <c r="G45" s="37"/>
      <c r="H45" s="37"/>
      <c r="I45" s="37"/>
    </row>
    <row r="46" spans="1:9" ht="18.75" thickBot="1" x14ac:dyDescent="0.25">
      <c r="A46" s="71" t="s">
        <v>14</v>
      </c>
      <c r="B46" s="72">
        <v>3</v>
      </c>
      <c r="C46" s="73" t="s">
        <v>23</v>
      </c>
      <c r="D46" s="82">
        <v>42870</v>
      </c>
      <c r="E46" s="37"/>
      <c r="F46" s="37"/>
      <c r="G46" s="37"/>
      <c r="H46" s="37"/>
      <c r="I46" s="37"/>
    </row>
    <row r="47" spans="1:9" ht="27.75" thickBot="1" x14ac:dyDescent="0.25">
      <c r="A47" s="74" t="s">
        <v>3</v>
      </c>
      <c r="B47" s="75" t="s">
        <v>15</v>
      </c>
      <c r="C47" s="74" t="s">
        <v>7</v>
      </c>
      <c r="D47" s="74" t="s">
        <v>13</v>
      </c>
    </row>
    <row r="48" spans="1:9" ht="13.5" x14ac:dyDescent="0.2">
      <c r="A48" s="9"/>
      <c r="B48" s="8"/>
      <c r="C48" s="13"/>
      <c r="D48" s="13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6"/>
      <c r="B57" s="6"/>
      <c r="C57" s="14"/>
      <c r="D57" s="14"/>
    </row>
    <row r="58" spans="1:4" ht="13.5" x14ac:dyDescent="0.2">
      <c r="A58" s="6"/>
      <c r="B58" s="6"/>
      <c r="C58" s="14"/>
      <c r="D58" s="14"/>
    </row>
    <row r="59" spans="1:4" ht="13.5" x14ac:dyDescent="0.2">
      <c r="A59" s="6"/>
      <c r="B59" s="6"/>
      <c r="C59" s="14"/>
      <c r="D59" s="14"/>
    </row>
    <row r="60" spans="1:4" ht="13.5" x14ac:dyDescent="0.2">
      <c r="A60" s="79"/>
      <c r="B60" s="79"/>
      <c r="C60" s="80"/>
      <c r="D60" s="80"/>
    </row>
    <row r="61" spans="1:4" ht="13.5" x14ac:dyDescent="0.2">
      <c r="A61" s="79"/>
      <c r="B61" s="79"/>
      <c r="C61" s="80"/>
      <c r="D61" s="80"/>
    </row>
    <row r="62" spans="1:4" ht="14.25" thickBot="1" x14ac:dyDescent="0.25">
      <c r="A62" s="7"/>
      <c r="B62" s="7"/>
      <c r="C62" s="15"/>
      <c r="D62" s="15"/>
    </row>
    <row r="63" spans="1:4" ht="14.25" thickBot="1" x14ac:dyDescent="0.25">
      <c r="A63" s="76" t="s">
        <v>22</v>
      </c>
      <c r="B63" s="76">
        <f>SUM(B48:B62)</f>
        <v>0</v>
      </c>
      <c r="C63" s="113" t="s">
        <v>38</v>
      </c>
      <c r="D63" s="77"/>
    </row>
    <row r="64" spans="1:4" ht="15" thickBot="1" x14ac:dyDescent="0.35">
      <c r="A64" s="78"/>
      <c r="B64" s="78"/>
      <c r="C64" s="78"/>
      <c r="D64" s="78"/>
    </row>
    <row r="65" spans="1:4" ht="18.75" thickBot="1" x14ac:dyDescent="0.25">
      <c r="A65" s="71" t="s">
        <v>14</v>
      </c>
      <c r="B65" s="72">
        <v>4</v>
      </c>
      <c r="C65" s="73" t="s">
        <v>23</v>
      </c>
      <c r="D65" s="82">
        <v>42877</v>
      </c>
    </row>
    <row r="66" spans="1:4" ht="27.75" thickBot="1" x14ac:dyDescent="0.25">
      <c r="A66" s="74" t="s">
        <v>3</v>
      </c>
      <c r="B66" s="75" t="s">
        <v>15</v>
      </c>
      <c r="C66" s="74" t="s">
        <v>7</v>
      </c>
      <c r="D66" s="74" t="s">
        <v>13</v>
      </c>
    </row>
    <row r="67" spans="1:4" ht="13.5" x14ac:dyDescent="0.2">
      <c r="A67" s="9"/>
      <c r="B67" s="8"/>
      <c r="C67" s="13"/>
      <c r="D67" s="13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3.5" x14ac:dyDescent="0.2">
      <c r="A77" s="6"/>
      <c r="B77" s="6"/>
      <c r="C77" s="14"/>
      <c r="D77" s="14"/>
    </row>
    <row r="78" spans="1:4" ht="13.5" x14ac:dyDescent="0.2">
      <c r="A78" s="6"/>
      <c r="B78" s="6"/>
      <c r="C78" s="14"/>
      <c r="D78" s="14"/>
    </row>
    <row r="79" spans="1:4" ht="13.5" x14ac:dyDescent="0.2">
      <c r="A79" s="79"/>
      <c r="B79" s="79"/>
      <c r="C79" s="80"/>
      <c r="D79" s="80"/>
    </row>
    <row r="80" spans="1:4" ht="13.5" x14ac:dyDescent="0.2">
      <c r="A80" s="79"/>
      <c r="B80" s="79"/>
      <c r="C80" s="80"/>
      <c r="D80" s="80"/>
    </row>
    <row r="81" spans="1:4" ht="14.25" thickBot="1" x14ac:dyDescent="0.25">
      <c r="A81" s="7"/>
      <c r="B81" s="7"/>
      <c r="C81" s="15"/>
      <c r="D81" s="15"/>
    </row>
    <row r="82" spans="1:4" ht="14.25" thickBot="1" x14ac:dyDescent="0.25">
      <c r="A82" s="76" t="s">
        <v>22</v>
      </c>
      <c r="B82" s="76">
        <f>SUM(B67:B81)</f>
        <v>0</v>
      </c>
      <c r="C82" s="113" t="s">
        <v>38</v>
      </c>
      <c r="D82" s="77"/>
    </row>
    <row r="83" spans="1:4" ht="15" thickBot="1" x14ac:dyDescent="0.35">
      <c r="A83" s="78"/>
      <c r="B83" s="78"/>
      <c r="C83" s="78"/>
      <c r="D83" s="78"/>
    </row>
    <row r="84" spans="1:4" ht="18.75" thickBot="1" x14ac:dyDescent="0.25">
      <c r="A84" s="71" t="s">
        <v>14</v>
      </c>
      <c r="B84" s="72">
        <v>5</v>
      </c>
      <c r="C84" s="73" t="s">
        <v>23</v>
      </c>
      <c r="D84" s="82">
        <v>42884</v>
      </c>
    </row>
    <row r="85" spans="1:4" ht="27.75" thickBot="1" x14ac:dyDescent="0.25">
      <c r="A85" s="74" t="s">
        <v>3</v>
      </c>
      <c r="B85" s="75" t="s">
        <v>15</v>
      </c>
      <c r="C85" s="74" t="s">
        <v>7</v>
      </c>
      <c r="D85" s="74" t="s">
        <v>13</v>
      </c>
    </row>
    <row r="86" spans="1:4" ht="13.5" x14ac:dyDescent="0.2">
      <c r="A86" s="9"/>
      <c r="B86" s="8"/>
      <c r="C86" s="13"/>
      <c r="D86" s="13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3.5" x14ac:dyDescent="0.2">
      <c r="A96" s="6"/>
      <c r="B96" s="6"/>
      <c r="C96" s="14"/>
      <c r="D96" s="14"/>
    </row>
    <row r="97" spans="1:4" ht="13.5" x14ac:dyDescent="0.2">
      <c r="A97" s="6"/>
      <c r="B97" s="6"/>
      <c r="C97" s="14"/>
      <c r="D97" s="14"/>
    </row>
    <row r="98" spans="1:4" ht="13.5" x14ac:dyDescent="0.2">
      <c r="A98" s="79"/>
      <c r="B98" s="79"/>
      <c r="C98" s="80"/>
      <c r="D98" s="80"/>
    </row>
    <row r="99" spans="1:4" ht="13.5" x14ac:dyDescent="0.2">
      <c r="A99" s="79"/>
      <c r="B99" s="79"/>
      <c r="C99" s="80"/>
      <c r="D99" s="80"/>
    </row>
    <row r="100" spans="1:4" ht="14.25" thickBot="1" x14ac:dyDescent="0.25">
      <c r="A100" s="7"/>
      <c r="B100" s="7"/>
      <c r="C100" s="15"/>
      <c r="D100" s="15"/>
    </row>
    <row r="101" spans="1:4" ht="14.25" thickBot="1" x14ac:dyDescent="0.25">
      <c r="A101" s="76" t="s">
        <v>22</v>
      </c>
      <c r="B101" s="76">
        <f>SUM(B86:B100)</f>
        <v>0</v>
      </c>
      <c r="C101" s="113" t="s">
        <v>38</v>
      </c>
      <c r="D101" s="77"/>
    </row>
    <row r="102" spans="1:4" ht="15" thickBot="1" x14ac:dyDescent="0.35">
      <c r="A102" s="78"/>
      <c r="B102" s="78"/>
      <c r="C102" s="78"/>
      <c r="D102" s="78"/>
    </row>
    <row r="103" spans="1:4" ht="18.75" thickBot="1" x14ac:dyDescent="0.25">
      <c r="A103" s="71" t="s">
        <v>14</v>
      </c>
      <c r="B103" s="72">
        <v>6</v>
      </c>
      <c r="C103" s="73" t="s">
        <v>23</v>
      </c>
      <c r="D103" s="82">
        <v>42891</v>
      </c>
    </row>
    <row r="104" spans="1:4" ht="27.75" thickBot="1" x14ac:dyDescent="0.25">
      <c r="A104" s="74" t="s">
        <v>3</v>
      </c>
      <c r="B104" s="75" t="s">
        <v>15</v>
      </c>
      <c r="C104" s="74" t="s">
        <v>7</v>
      </c>
      <c r="D104" s="74" t="s">
        <v>13</v>
      </c>
    </row>
    <row r="105" spans="1:4" ht="13.5" x14ac:dyDescent="0.2">
      <c r="A105" s="9"/>
      <c r="B105" s="8"/>
      <c r="C105" s="13"/>
      <c r="D105" s="13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6"/>
      <c r="B114" s="6"/>
      <c r="C114" s="14"/>
      <c r="D114" s="14"/>
    </row>
    <row r="115" spans="1:4" ht="13.5" x14ac:dyDescent="0.2">
      <c r="A115" s="6"/>
      <c r="B115" s="6"/>
      <c r="C115" s="14"/>
      <c r="D115" s="14"/>
    </row>
    <row r="116" spans="1:4" ht="13.5" x14ac:dyDescent="0.2">
      <c r="A116" s="6"/>
      <c r="B116" s="6"/>
      <c r="C116" s="14"/>
      <c r="D116" s="14"/>
    </row>
    <row r="117" spans="1:4" ht="13.5" x14ac:dyDescent="0.2">
      <c r="A117" s="79"/>
      <c r="B117" s="79"/>
      <c r="C117" s="80"/>
      <c r="D117" s="80"/>
    </row>
    <row r="118" spans="1:4" ht="13.5" x14ac:dyDescent="0.2">
      <c r="A118" s="79"/>
      <c r="B118" s="79"/>
      <c r="C118" s="80"/>
      <c r="D118" s="80"/>
    </row>
    <row r="119" spans="1:4" ht="14.25" thickBot="1" x14ac:dyDescent="0.25">
      <c r="A119" s="7"/>
      <c r="B119" s="7"/>
      <c r="C119" s="15"/>
      <c r="D119" s="15"/>
    </row>
    <row r="120" spans="1:4" ht="14.25" thickBot="1" x14ac:dyDescent="0.25">
      <c r="A120" s="76" t="s">
        <v>22</v>
      </c>
      <c r="B120" s="76">
        <f>SUM(B105:B119)</f>
        <v>0</v>
      </c>
      <c r="C120" s="113" t="s">
        <v>38</v>
      </c>
      <c r="D120" s="77"/>
    </row>
    <row r="121" spans="1:4" ht="14.25" x14ac:dyDescent="0.3">
      <c r="A121" s="78"/>
      <c r="B121" s="78"/>
      <c r="C121" s="78"/>
      <c r="D121" s="78"/>
    </row>
    <row r="122" spans="1:4" x14ac:dyDescent="0.2">
      <c r="A122" s="107" t="s">
        <v>39</v>
      </c>
    </row>
  </sheetData>
  <mergeCells count="6">
    <mergeCell ref="A3:C3"/>
    <mergeCell ref="A8:C8"/>
    <mergeCell ref="A13:C13"/>
    <mergeCell ref="A18:C18"/>
    <mergeCell ref="A31:C31"/>
    <mergeCell ref="A28:C28"/>
  </mergeCells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2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4:F41 B105:B119 B19:B23 B48:B62 B67:B81 B86:B100 B4:B7 B14:B17 B29:B30 B9:B12 B32:B4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4 B44 B63 B82 B101 B120">
      <formula1>0</formula1>
      <formula2>NbPerWeek * NbQuartPer</formula2>
    </dataValidation>
    <dataValidation type="list" allowBlank="1" showInputMessage="1" showErrorMessage="1" sqref="A105:A119 A19:A23 A48:A62 A67:A81 A86:A100 A4:A7 A14:A17 A29:A30 A9:A12 A32:A43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2017-05-10T14:12:17Z</dcterms:modified>
  <cp:contentStatus>Version 8.0</cp:contentStatus>
</cp:coreProperties>
</file>